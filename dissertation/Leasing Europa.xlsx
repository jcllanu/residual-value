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an.carlos.llamas.1\Downloads\"/>
    </mc:Choice>
  </mc:AlternateContent>
  <xr:revisionPtr revIDLastSave="0" documentId="13_ncr:1_{CCB8600A-C4A6-4852-96D4-3209D506BA4D}" xr6:coauthVersionLast="47" xr6:coauthVersionMax="47" xr10:uidLastSave="{00000000-0000-0000-0000-000000000000}"/>
  <bookViews>
    <workbookView xWindow="-110" yWindow="-110" windowWidth="19420" windowHeight="11620" activeTab="1" xr2:uid="{B48816F1-8D89-4332-A218-86264AE8A771}"/>
  </bookViews>
  <sheets>
    <sheet name="Índice" sheetId="18" r:id="rId1"/>
    <sheet name="Data" sheetId="2" r:id="rId2"/>
    <sheet name="EU" sheetId="17" r:id="rId3"/>
    <sheet name="Leasing (Maq+Veh+Inmob)" sheetId="4" r:id="rId4"/>
    <sheet name="Leasing (Vehículos)" sheetId="5" r:id="rId5"/>
    <sheet name="UK" sheetId="8" r:id="rId6"/>
    <sheet name="FR" sheetId="9" r:id="rId7"/>
    <sheet name="DE" sheetId="10" r:id="rId8"/>
    <sheet name="IT" sheetId="11" r:id="rId9"/>
    <sheet name="PL" sheetId="12" r:id="rId10"/>
    <sheet name="SE" sheetId="14" r:id="rId11"/>
    <sheet name="ES" sheetId="15" r:id="rId12"/>
  </sheets>
  <definedNames>
    <definedName name="_xlnm._FilterDatabase" localSheetId="1" hidden="1">Data!$A$1:$G$397</definedName>
  </definedNames>
  <calcPr calcId="191029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7" l="1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21" i="8"/>
  <c r="C21" i="8"/>
  <c r="B27" i="5"/>
  <c r="C27" i="5"/>
  <c r="D27" i="5"/>
  <c r="E27" i="5"/>
  <c r="F27" i="5"/>
  <c r="G27" i="5"/>
  <c r="H27" i="5"/>
  <c r="I27" i="5"/>
  <c r="B28" i="5"/>
  <c r="C28" i="5"/>
  <c r="D28" i="5"/>
  <c r="D44" i="5" s="1"/>
  <c r="E28" i="5"/>
  <c r="F28" i="5"/>
  <c r="G28" i="5"/>
  <c r="G44" i="5" s="1"/>
  <c r="H28" i="5"/>
  <c r="H44" i="5" s="1"/>
  <c r="I28" i="5"/>
  <c r="B29" i="5"/>
  <c r="C29" i="5"/>
  <c r="C45" i="5" s="1"/>
  <c r="D29" i="5"/>
  <c r="E29" i="5"/>
  <c r="F29" i="5"/>
  <c r="G29" i="5"/>
  <c r="G45" i="5" s="1"/>
  <c r="H29" i="5"/>
  <c r="H45" i="5" s="1"/>
  <c r="I29" i="5"/>
  <c r="B26" i="5"/>
  <c r="I19" i="5"/>
  <c r="I20" i="5"/>
  <c r="I21" i="5"/>
  <c r="I22" i="5"/>
  <c r="I23" i="5"/>
  <c r="I24" i="5"/>
  <c r="I25" i="5"/>
  <c r="I26" i="5"/>
  <c r="I18" i="5"/>
  <c r="I21" i="4"/>
  <c r="I22" i="4"/>
  <c r="I23" i="4"/>
  <c r="I24" i="4"/>
  <c r="I25" i="4"/>
  <c r="I26" i="4"/>
  <c r="I27" i="4"/>
  <c r="I28" i="4"/>
  <c r="I29" i="4"/>
  <c r="I30" i="4"/>
  <c r="I31" i="4"/>
  <c r="I20" i="4"/>
  <c r="B29" i="4"/>
  <c r="C29" i="4"/>
  <c r="D29" i="4"/>
  <c r="E29" i="4"/>
  <c r="F29" i="4"/>
  <c r="G29" i="4"/>
  <c r="H29" i="4"/>
  <c r="B30" i="4"/>
  <c r="C30" i="4"/>
  <c r="D30" i="4"/>
  <c r="E30" i="4"/>
  <c r="F30" i="4"/>
  <c r="G30" i="4"/>
  <c r="H30" i="4"/>
  <c r="B31" i="4"/>
  <c r="C31" i="4"/>
  <c r="D31" i="4"/>
  <c r="E31" i="4"/>
  <c r="F31" i="4"/>
  <c r="G31" i="4"/>
  <c r="H31" i="4"/>
  <c r="B28" i="4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4" i="2"/>
  <c r="G143" i="2"/>
  <c r="G142" i="2"/>
  <c r="G141" i="2"/>
  <c r="G140" i="2"/>
  <c r="G139" i="2"/>
  <c r="G137" i="2"/>
  <c r="G136" i="2"/>
  <c r="G135" i="2"/>
  <c r="G134" i="2"/>
  <c r="G133" i="2"/>
  <c r="G132" i="2"/>
  <c r="G131" i="2"/>
  <c r="G130" i="2"/>
  <c r="G129" i="2"/>
  <c r="G128" i="2"/>
  <c r="F127" i="2"/>
  <c r="E127" i="2"/>
  <c r="D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1" i="2"/>
  <c r="G110" i="2"/>
  <c r="G109" i="2"/>
  <c r="G108" i="2"/>
  <c r="G107" i="2"/>
  <c r="G106" i="2"/>
  <c r="G104" i="2"/>
  <c r="G103" i="2"/>
  <c r="G102" i="2"/>
  <c r="G101" i="2"/>
  <c r="G100" i="2"/>
  <c r="G98" i="2"/>
  <c r="G97" i="2"/>
  <c r="G96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8" i="2"/>
  <c r="G77" i="2"/>
  <c r="G76" i="2"/>
  <c r="G75" i="2"/>
  <c r="G74" i="2"/>
  <c r="G73" i="2"/>
  <c r="G71" i="2"/>
  <c r="G70" i="2"/>
  <c r="G69" i="2"/>
  <c r="G68" i="2"/>
  <c r="G34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2" i="2"/>
  <c r="G11" i="2"/>
  <c r="G10" i="2"/>
  <c r="G9" i="2"/>
  <c r="G8" i="2"/>
  <c r="G7" i="2"/>
  <c r="G5" i="2"/>
  <c r="G4" i="2"/>
  <c r="G3" i="2"/>
  <c r="G2" i="2"/>
  <c r="H26" i="5"/>
  <c r="G26" i="5"/>
  <c r="F26" i="5"/>
  <c r="E26" i="5"/>
  <c r="D26" i="5"/>
  <c r="C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C20" i="4"/>
  <c r="D20" i="4"/>
  <c r="E20" i="4"/>
  <c r="F20" i="4"/>
  <c r="G20" i="4"/>
  <c r="H20" i="4"/>
  <c r="C21" i="4"/>
  <c r="D21" i="4"/>
  <c r="E21" i="4"/>
  <c r="F21" i="4"/>
  <c r="G21" i="4"/>
  <c r="H21" i="4"/>
  <c r="C22" i="4"/>
  <c r="D22" i="4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C26" i="4"/>
  <c r="D26" i="4"/>
  <c r="E26" i="4"/>
  <c r="F26" i="4"/>
  <c r="G26" i="4"/>
  <c r="H26" i="4"/>
  <c r="C27" i="4"/>
  <c r="D27" i="4"/>
  <c r="E27" i="4"/>
  <c r="F27" i="4"/>
  <c r="G27" i="4"/>
  <c r="H27" i="4"/>
  <c r="C28" i="4"/>
  <c r="D28" i="4"/>
  <c r="E28" i="4"/>
  <c r="F28" i="4"/>
  <c r="G28" i="4"/>
  <c r="H28" i="4"/>
  <c r="B21" i="4"/>
  <c r="B22" i="4"/>
  <c r="B23" i="4"/>
  <c r="B24" i="4"/>
  <c r="B25" i="4"/>
  <c r="B26" i="4"/>
  <c r="B27" i="4"/>
  <c r="B20" i="4"/>
  <c r="C44" i="5" l="1"/>
  <c r="I44" i="5"/>
  <c r="F47" i="4"/>
  <c r="I45" i="5"/>
  <c r="B44" i="5"/>
  <c r="I42" i="4"/>
  <c r="I41" i="5"/>
  <c r="G43" i="4"/>
  <c r="I45" i="4"/>
  <c r="I36" i="5"/>
  <c r="H44" i="4"/>
  <c r="D42" i="4"/>
  <c r="B45" i="5"/>
  <c r="F43" i="4"/>
  <c r="D44" i="4"/>
  <c r="H42" i="4"/>
  <c r="F41" i="4"/>
  <c r="H38" i="4"/>
  <c r="F37" i="4"/>
  <c r="D40" i="4"/>
  <c r="H40" i="4"/>
  <c r="F39" i="4"/>
  <c r="D38" i="4"/>
  <c r="E42" i="5"/>
  <c r="G45" i="4"/>
  <c r="D43" i="5"/>
  <c r="E44" i="5"/>
  <c r="B39" i="4"/>
  <c r="G42" i="4"/>
  <c r="E41" i="4"/>
  <c r="C40" i="4"/>
  <c r="G38" i="4"/>
  <c r="E37" i="4"/>
  <c r="B35" i="5"/>
  <c r="C36" i="5"/>
  <c r="D37" i="5"/>
  <c r="E38" i="5"/>
  <c r="F39" i="5"/>
  <c r="G40" i="5"/>
  <c r="H41" i="5"/>
  <c r="I41" i="4"/>
  <c r="I40" i="5"/>
  <c r="I38" i="5"/>
  <c r="D45" i="5"/>
  <c r="G42" i="5"/>
  <c r="G47" i="4"/>
  <c r="E44" i="4"/>
  <c r="C43" i="4"/>
  <c r="G41" i="4"/>
  <c r="E40" i="4"/>
  <c r="C39" i="4"/>
  <c r="G37" i="4"/>
  <c r="H35" i="5"/>
  <c r="B37" i="5"/>
  <c r="C38" i="5"/>
  <c r="D39" i="5"/>
  <c r="E40" i="5"/>
  <c r="F41" i="5"/>
  <c r="C42" i="5"/>
  <c r="C47" i="4"/>
  <c r="B46" i="4"/>
  <c r="D35" i="5"/>
  <c r="E36" i="5"/>
  <c r="F37" i="5"/>
  <c r="G38" i="5"/>
  <c r="H39" i="5"/>
  <c r="B41" i="5"/>
  <c r="D42" i="5"/>
  <c r="F30" i="5"/>
  <c r="F43" i="5"/>
  <c r="E35" i="5"/>
  <c r="F36" i="5"/>
  <c r="G37" i="5"/>
  <c r="H38" i="5"/>
  <c r="B40" i="5"/>
  <c r="C41" i="5"/>
  <c r="I46" i="4"/>
  <c r="I38" i="4"/>
  <c r="I37" i="5"/>
  <c r="C35" i="5"/>
  <c r="D36" i="5"/>
  <c r="E37" i="5"/>
  <c r="F38" i="5"/>
  <c r="G39" i="5"/>
  <c r="H40" i="5"/>
  <c r="I39" i="5"/>
  <c r="G43" i="5"/>
  <c r="F45" i="5"/>
  <c r="E30" i="5"/>
  <c r="E43" i="5"/>
  <c r="B43" i="4"/>
  <c r="F35" i="5"/>
  <c r="G36" i="5"/>
  <c r="H37" i="5"/>
  <c r="B39" i="5"/>
  <c r="C40" i="5"/>
  <c r="D41" i="5"/>
  <c r="F42" i="5"/>
  <c r="I37" i="4"/>
  <c r="G35" i="5"/>
  <c r="H36" i="5"/>
  <c r="B38" i="5"/>
  <c r="C39" i="5"/>
  <c r="D40" i="5"/>
  <c r="E41" i="5"/>
  <c r="I35" i="5"/>
  <c r="C43" i="5"/>
  <c r="H42" i="5"/>
  <c r="I42" i="5"/>
  <c r="B42" i="5"/>
  <c r="B43" i="5"/>
  <c r="B36" i="5"/>
  <c r="C37" i="5"/>
  <c r="D38" i="5"/>
  <c r="E39" i="5"/>
  <c r="F40" i="5"/>
  <c r="G41" i="5"/>
  <c r="E32" i="4"/>
  <c r="I43" i="5"/>
  <c r="D30" i="5"/>
  <c r="F44" i="5"/>
  <c r="H43" i="5"/>
  <c r="C45" i="4"/>
  <c r="C30" i="5"/>
  <c r="E45" i="5"/>
  <c r="B38" i="4"/>
  <c r="B30" i="5"/>
  <c r="H46" i="4"/>
  <c r="I47" i="4"/>
  <c r="I39" i="4"/>
  <c r="I30" i="5"/>
  <c r="H30" i="5"/>
  <c r="E43" i="4"/>
  <c r="C42" i="4"/>
  <c r="G40" i="4"/>
  <c r="E39" i="4"/>
  <c r="C38" i="4"/>
  <c r="G30" i="5"/>
  <c r="F46" i="4"/>
  <c r="G127" i="2"/>
  <c r="H43" i="4"/>
  <c r="D41" i="4"/>
  <c r="H39" i="4"/>
  <c r="F38" i="4"/>
  <c r="D37" i="4"/>
  <c r="D47" i="4"/>
  <c r="C46" i="4"/>
  <c r="B45" i="4"/>
  <c r="B37" i="4"/>
  <c r="E42" i="4"/>
  <c r="C41" i="4"/>
  <c r="G39" i="4"/>
  <c r="E38" i="4"/>
  <c r="C37" i="4"/>
  <c r="C32" i="4"/>
  <c r="I40" i="4"/>
  <c r="B32" i="4"/>
  <c r="B44" i="4"/>
  <c r="B42" i="4"/>
  <c r="F44" i="4"/>
  <c r="D43" i="4"/>
  <c r="H41" i="4"/>
  <c r="F40" i="4"/>
  <c r="D39" i="4"/>
  <c r="H37" i="4"/>
  <c r="H47" i="4"/>
  <c r="G46" i="4"/>
  <c r="F45" i="4"/>
  <c r="B41" i="4"/>
  <c r="E45" i="4"/>
  <c r="I44" i="4"/>
  <c r="B47" i="4"/>
  <c r="B40" i="4"/>
  <c r="E47" i="4"/>
  <c r="D46" i="4"/>
  <c r="I43" i="4"/>
  <c r="H32" i="4"/>
  <c r="G32" i="4"/>
  <c r="H45" i="4"/>
  <c r="G44" i="4"/>
  <c r="F42" i="4"/>
  <c r="F32" i="4"/>
  <c r="D32" i="4"/>
  <c r="E46" i="4"/>
  <c r="D45" i="4"/>
  <c r="C44" i="4"/>
  <c r="I32" i="4"/>
</calcChain>
</file>

<file path=xl/sharedStrings.xml><?xml version="1.0" encoding="utf-8"?>
<sst xmlns="http://schemas.openxmlformats.org/spreadsheetml/2006/main" count="1639" uniqueCount="103">
  <si>
    <t>Country</t>
  </si>
  <si>
    <t>Association</t>
  </si>
  <si>
    <t>Equipment (Mio €)</t>
  </si>
  <si>
    <t>Vehicles (Mio €)</t>
  </si>
  <si>
    <t>Real Estate (Mio €)</t>
  </si>
  <si>
    <t>Total (Mio €)</t>
  </si>
  <si>
    <t>AT</t>
  </si>
  <si>
    <t>Verband Österreichischer Leasing-Gesellschaften - VÖL</t>
  </si>
  <si>
    <t>BE</t>
  </si>
  <si>
    <t>Association Belge des Entreprises de Leasing</t>
  </si>
  <si>
    <t>BG</t>
  </si>
  <si>
    <t>Bulgarian Association for Leasing - BAL</t>
  </si>
  <si>
    <t>CZ</t>
  </si>
  <si>
    <t>Czech Leasing and Finance Association - CLFA</t>
  </si>
  <si>
    <t>DE</t>
  </si>
  <si>
    <t>Bundesverband Deutscher Leasing-Unternehmen e.V. - BDL</t>
  </si>
  <si>
    <t>DK</t>
  </si>
  <si>
    <t>Finans og Leasing</t>
  </si>
  <si>
    <t>EE</t>
  </si>
  <si>
    <t>Estonian Leasing Association</t>
  </si>
  <si>
    <t>ES</t>
  </si>
  <si>
    <t>Asociación Española de Leasing y Renting - AELR</t>
  </si>
  <si>
    <t>Association Espanola de Renting de Vehiculos - AER</t>
  </si>
  <si>
    <t>FR</t>
  </si>
  <si>
    <t>Association francaise des Sociétés Financieres - ASF</t>
  </si>
  <si>
    <t>Fédération Nationale des Loueurs de Véhicules - FNLV</t>
  </si>
  <si>
    <t>GR</t>
  </si>
  <si>
    <t>Association of Greek Leasing Companies - AGLC</t>
  </si>
  <si>
    <t>HR</t>
  </si>
  <si>
    <t>Croatian Chamber of Economy - Association of Leasing Companies</t>
  </si>
  <si>
    <t>HU</t>
  </si>
  <si>
    <t>Hungarian Leasing Association</t>
  </si>
  <si>
    <t>IT</t>
  </si>
  <si>
    <t>Associazione Italiana Leasing - ASSILEA and ANIASA</t>
  </si>
  <si>
    <t>LT</t>
  </si>
  <si>
    <t>Association of Lithuanian Banks - Leasing Committee</t>
  </si>
  <si>
    <t>LV</t>
  </si>
  <si>
    <t>Finance Latvia Association - Leasing Committee</t>
  </si>
  <si>
    <t>MA</t>
  </si>
  <si>
    <t>Association Professionnelle des Sociétés de Financement - APSF</t>
  </si>
  <si>
    <t>NL</t>
  </si>
  <si>
    <t>Nederlandse Vereniging van Leasemaatschappijen - NVL</t>
  </si>
  <si>
    <t>NO</t>
  </si>
  <si>
    <t>Finansieringsselskapenes Forening</t>
  </si>
  <si>
    <t>PL</t>
  </si>
  <si>
    <t>Polish Leasing Association</t>
  </si>
  <si>
    <t>PT</t>
  </si>
  <si>
    <t>Associação Portuguesa de Leasing, Factoring e Renting - ALF</t>
  </si>
  <si>
    <t>SE</t>
  </si>
  <si>
    <t>AFINA regrouping Finansbolagens Förening and Svenska Bankföreningen</t>
  </si>
  <si>
    <t>SK</t>
  </si>
  <si>
    <t>Association of Leasing Companies of the Slovak Republic</t>
  </si>
  <si>
    <t>TR</t>
  </si>
  <si>
    <t>Auto Leasing and Rental Companies Association - Tokkder</t>
  </si>
  <si>
    <t>Turkish Association of Financial Institutions - AFI/FKB</t>
  </si>
  <si>
    <t>UK</t>
  </si>
  <si>
    <t>Finance and Leasing Association - FLA</t>
  </si>
  <si>
    <t>SI</t>
  </si>
  <si>
    <t>Leasing Committee of the Banking Association of Slovenia</t>
  </si>
  <si>
    <t>Fédération Belge des Loueurs de Véhicules - RENTA</t>
  </si>
  <si>
    <t>RU</t>
  </si>
  <si>
    <t>United Leasing Association - ULA</t>
  </si>
  <si>
    <t>UA</t>
  </si>
  <si>
    <t>Ukrainian Union of Lessors - UUL</t>
  </si>
  <si>
    <t>CH</t>
  </si>
  <si>
    <t>Schweizerischer Leasingverband - SLV</t>
  </si>
  <si>
    <t>FI</t>
  </si>
  <si>
    <t>Federation of Finnish Financial Services - FKL</t>
  </si>
  <si>
    <t>Year</t>
  </si>
  <si>
    <t>Etiquetas de fila</t>
  </si>
  <si>
    <t>Total general</t>
  </si>
  <si>
    <t>Suma de Equipment (Mio €)</t>
  </si>
  <si>
    <t>Etiquetas de columna</t>
  </si>
  <si>
    <t>Suma de Vehicles (Mio €)</t>
  </si>
  <si>
    <t>Suma de Total (Mio €)</t>
  </si>
  <si>
    <t>OTHERS</t>
  </si>
  <si>
    <t>1st Sem. 2024</t>
  </si>
  <si>
    <t>1st Sem. 2023</t>
  </si>
  <si>
    <t>1st Sem. 2022</t>
  </si>
  <si>
    <t>1st Sem. 2021</t>
  </si>
  <si>
    <t>1st Sem. 2020</t>
  </si>
  <si>
    <t>1st Sem. 2019</t>
  </si>
  <si>
    <t>1st Sem. 2018</t>
  </si>
  <si>
    <t>1st Sem. 2017</t>
  </si>
  <si>
    <t>1st Sem. 2016</t>
  </si>
  <si>
    <t>1st Sem. 2015</t>
  </si>
  <si>
    <t>1st Sem. 2014</t>
  </si>
  <si>
    <t>1st Sem. 2013</t>
  </si>
  <si>
    <t>Suma de Real Estate (Mio €)</t>
  </si>
  <si>
    <t>%Change Vehicles</t>
  </si>
  <si>
    <t>%Change Total</t>
  </si>
  <si>
    <t>Data</t>
  </si>
  <si>
    <t>Pestaña</t>
  </si>
  <si>
    <t>Dato en bruto obtenido de los informes semestrales de Leaseurope, https://www.leaseurope.org/data-research/annual-statistics/past-surveys</t>
  </si>
  <si>
    <t>EU</t>
  </si>
  <si>
    <t>Leasing (Maq+Veh+Inmob)</t>
  </si>
  <si>
    <t>Evolución de la nueva producción en leasing agregado a nivel europeo a lo largo del tiempo. Distinción por maquinaria, vehículos y propiedad inmobiliaria. Valores totales y tasa de cambio</t>
  </si>
  <si>
    <t>Distribución de la nueva producción en leasing total (maquinaria, vehículos y propiedad inmobiliaria) en Europa desagregada por país a lo largo del tiempo. Análisis agrupando los países que no llegan a un mínimo de producción en el bucket 'OTROS'. Valores totales y tasa de cambio</t>
  </si>
  <si>
    <t>Leasing (Vehículos)</t>
  </si>
  <si>
    <t>Distribución de la nueva producción en leasing de vehículos en Europa desagregada por país a lo largo del tiempo. Análisis agrupando los países que no llegan a un mínimo de producción en el bucket 'OTROS'. Valores totales y tasa de cambio</t>
  </si>
  <si>
    <t>Resto de pestañas</t>
  </si>
  <si>
    <t>Contenido</t>
  </si>
  <si>
    <t>Para cada uno de los países con más volumen de negocio, evolución de la nueva producción en leasing en dicho país a lo largo del tiempo. Distinción por maquinaria, vehículos y propiedad inmobiliaria. Valores totales y tasa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</si>
</sst>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0" xfId="0" applyFont="1" applyFill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65" fontId="0" fillId="0" borderId="0" xfId="2" applyNumberFormat="1" applyFont="1"/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4" fontId="3" fillId="0" borderId="2" xfId="0" applyNumberFormat="1" applyFont="1" applyBorder="1"/>
    <xf numFmtId="3" fontId="3" fillId="0" borderId="2" xfId="0" applyNumberFormat="1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wrapText="1"/>
    </xf>
    <xf numFmtId="0" fontId="0" fillId="3" borderId="2" xfId="0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8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Europa.xlsx]EU!TablaDinámica18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EU!$B$3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EU!$B$4:$B$16</c:f>
              <c:numCache>
                <c:formatCode>_-* #,##0_-;\-* #,##0_-;_-* "-"??_-;_-@_-</c:formatCode>
                <c:ptCount val="12"/>
                <c:pt idx="0">
                  <c:v>36783</c:v>
                </c:pt>
                <c:pt idx="1">
                  <c:v>38765.891999999993</c:v>
                </c:pt>
                <c:pt idx="2">
                  <c:v>39861.145206205591</c:v>
                </c:pt>
                <c:pt idx="3">
                  <c:v>43522.499999999993</c:v>
                </c:pt>
                <c:pt idx="4">
                  <c:v>46149.3</c:v>
                </c:pt>
                <c:pt idx="5">
                  <c:v>46881.499999999993</c:v>
                </c:pt>
                <c:pt idx="6">
                  <c:v>51462.729999999996</c:v>
                </c:pt>
                <c:pt idx="7">
                  <c:v>39726.700000000004</c:v>
                </c:pt>
                <c:pt idx="8">
                  <c:v>46449.693664122125</c:v>
                </c:pt>
                <c:pt idx="9">
                  <c:v>48048.880000000005</c:v>
                </c:pt>
                <c:pt idx="10">
                  <c:v>50846.216140743651</c:v>
                </c:pt>
                <c:pt idx="11">
                  <c:v>50609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B-4FE1-AB5B-1E43BAC15D58}"/>
            </c:ext>
          </c:extLst>
        </c:ser>
        <c:ser>
          <c:idx val="1"/>
          <c:order val="1"/>
          <c:tx>
            <c:strRef>
              <c:f>EU!$C$3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EU!$A$4:$A$16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EU!$C$4:$C$16</c:f>
              <c:numCache>
                <c:formatCode>_-* #,##0_-;\-* #,##0_-;_-* "-"??_-;_-@_-</c:formatCode>
                <c:ptCount val="12"/>
                <c:pt idx="0">
                  <c:v>68548.5</c:v>
                </c:pt>
                <c:pt idx="1">
                  <c:v>83692.833000000013</c:v>
                </c:pt>
                <c:pt idx="2">
                  <c:v>89259.064098361036</c:v>
                </c:pt>
                <c:pt idx="3">
                  <c:v>103145.9</c:v>
                </c:pt>
                <c:pt idx="4">
                  <c:v>108497.69999999998</c:v>
                </c:pt>
                <c:pt idx="5">
                  <c:v>113096.10000000002</c:v>
                </c:pt>
                <c:pt idx="6">
                  <c:v>120611.55999999998</c:v>
                </c:pt>
                <c:pt idx="7">
                  <c:v>77126.45</c:v>
                </c:pt>
                <c:pt idx="8">
                  <c:v>105371.45124798329</c:v>
                </c:pt>
                <c:pt idx="9">
                  <c:v>112877.56</c:v>
                </c:pt>
                <c:pt idx="10">
                  <c:v>125448.09426128994</c:v>
                </c:pt>
                <c:pt idx="11">
                  <c:v>136251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B-4FE1-AB5B-1E43BAC15D58}"/>
            </c:ext>
          </c:extLst>
        </c:ser>
        <c:ser>
          <c:idx val="2"/>
          <c:order val="2"/>
          <c:tx>
            <c:strRef>
              <c:f>EU!$D$3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EU!$A$4:$A$16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EU!$D$4:$D$16</c:f>
              <c:numCache>
                <c:formatCode>_-* #,##0_-;\-* #,##0_-;_-* "-"??_-;_-@_-</c:formatCode>
                <c:ptCount val="12"/>
                <c:pt idx="0">
                  <c:v>6524.7</c:v>
                </c:pt>
                <c:pt idx="1">
                  <c:v>6618.2130000000006</c:v>
                </c:pt>
                <c:pt idx="2">
                  <c:v>9719.1351761585283</c:v>
                </c:pt>
                <c:pt idx="3">
                  <c:v>9186.3000000000011</c:v>
                </c:pt>
                <c:pt idx="4">
                  <c:v>6671.9999999999991</c:v>
                </c:pt>
                <c:pt idx="5">
                  <c:v>6133.7</c:v>
                </c:pt>
                <c:pt idx="6">
                  <c:v>7417.5</c:v>
                </c:pt>
                <c:pt idx="7">
                  <c:v>5091.17</c:v>
                </c:pt>
                <c:pt idx="8">
                  <c:v>6159.5466888810943</c:v>
                </c:pt>
                <c:pt idx="9">
                  <c:v>6440.5299999999979</c:v>
                </c:pt>
                <c:pt idx="10">
                  <c:v>5083.8457127013526</c:v>
                </c:pt>
                <c:pt idx="11">
                  <c:v>4719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BB-4FE1-AB5B-1E43BAC15D58}"/>
            </c:ext>
          </c:extLst>
        </c:ser>
        <c:ser>
          <c:idx val="3"/>
          <c:order val="3"/>
          <c:tx>
            <c:strRef>
              <c:f>EU!$E$3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EU!$A$4:$A$16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EU!$E$4:$E$16</c:f>
              <c:numCache>
                <c:formatCode>_-* #,##0_-;\-* #,##0_-;_-* "-"??_-;_-@_-</c:formatCode>
                <c:ptCount val="12"/>
                <c:pt idx="0">
                  <c:v>111295.80000000002</c:v>
                </c:pt>
                <c:pt idx="1">
                  <c:v>129077.19999999997</c:v>
                </c:pt>
                <c:pt idx="2">
                  <c:v>138839.34448072515</c:v>
                </c:pt>
                <c:pt idx="3">
                  <c:v>155854.70000000001</c:v>
                </c:pt>
                <c:pt idx="4">
                  <c:v>161319</c:v>
                </c:pt>
                <c:pt idx="5">
                  <c:v>166111.30000000002</c:v>
                </c:pt>
                <c:pt idx="6">
                  <c:v>179491.79</c:v>
                </c:pt>
                <c:pt idx="7">
                  <c:v>121944.32000000001</c:v>
                </c:pt>
                <c:pt idx="8">
                  <c:v>157980.69160098652</c:v>
                </c:pt>
                <c:pt idx="9">
                  <c:v>167366.97</c:v>
                </c:pt>
                <c:pt idx="10">
                  <c:v>181369.82706251057</c:v>
                </c:pt>
                <c:pt idx="11">
                  <c:v>191579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BB-4FE1-AB5B-1E43BAC1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EU!$B$21:$B$31</c:f>
              <c:numCache>
                <c:formatCode>0.0%</c:formatCode>
                <c:ptCount val="11"/>
                <c:pt idx="0">
                  <c:v>0.22092872929385782</c:v>
                </c:pt>
                <c:pt idx="1">
                  <c:v>6.6507858544602283E-2</c:v>
                </c:pt>
                <c:pt idx="2">
                  <c:v>0.15557899964463046</c:v>
                </c:pt>
                <c:pt idx="3">
                  <c:v>5.1885726916920484E-2</c:v>
                </c:pt>
                <c:pt idx="4">
                  <c:v>4.23824652504158E-2</c:v>
                </c:pt>
                <c:pt idx="5">
                  <c:v>6.64519819870001E-2</c:v>
                </c:pt>
                <c:pt idx="6">
                  <c:v>-0.3605384923302542</c:v>
                </c:pt>
                <c:pt idx="7">
                  <c:v>0.36621679395308998</c:v>
                </c:pt>
                <c:pt idx="8">
                  <c:v>7.1234747771971738E-2</c:v>
                </c:pt>
                <c:pt idx="9">
                  <c:v>0.11136433371956252</c:v>
                </c:pt>
                <c:pt idx="10">
                  <c:v>8.6114546437104075E-2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0-4082-89CD-CCA44D9BC166}"/>
            </c:ext>
          </c:extLst>
        </c:ser>
        <c:ser>
          <c:idx val="1"/>
          <c:order val="1"/>
          <c:tx>
            <c:strRef>
              <c:f>EU!$C$20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EU!$A$21:$A$31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EU!$C$21:$C$31</c:f>
              <c:numCache>
                <c:formatCode>0.0%</c:formatCode>
                <c:ptCount val="11"/>
                <c:pt idx="0">
                  <c:v>0.15976703523403352</c:v>
                </c:pt>
                <c:pt idx="1">
                  <c:v>7.5630277699897316E-2</c:v>
                </c:pt>
                <c:pt idx="2">
                  <c:v>0.12255427726855248</c:v>
                </c:pt>
                <c:pt idx="3">
                  <c:v>3.5060219550645491E-2</c:v>
                </c:pt>
                <c:pt idx="4">
                  <c:v>2.9706978099294054E-2</c:v>
                </c:pt>
                <c:pt idx="5">
                  <c:v>8.0551353219196944E-2</c:v>
                </c:pt>
                <c:pt idx="6">
                  <c:v>-0.32061338292965935</c:v>
                </c:pt>
                <c:pt idx="7">
                  <c:v>0.2955149661828162</c:v>
                </c:pt>
                <c:pt idx="8">
                  <c:v>5.9414086011982392E-2</c:v>
                </c:pt>
                <c:pt idx="9">
                  <c:v>8.366559460633459E-2</c:v>
                </c:pt>
                <c:pt idx="10">
                  <c:v>5.6289257716338678E-2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0-4082-89CD-CCA44D9BC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Europa.xlsx]Leasing (Maq+Veh+Inmob)!TablaDinámica2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Nueva producción Europa Leasing</a:t>
            </a:r>
          </a:p>
        </c:rich>
      </c:tx>
      <c:layout>
        <c:manualLayout>
          <c:xMode val="edge"/>
          <c:yMode val="edge"/>
          <c:x val="0.4044820295983087"/>
          <c:y val="7.4080976564319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477831798624655E-2"/>
          <c:y val="0.20561431300377395"/>
          <c:w val="0.74996290418768252"/>
          <c:h val="0.595784994331329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'Leasing (Maq+Veh+Inmob)'!$B$3:$B$4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(Maq+Veh+Inmob)'!$B$5:$B$17</c:f>
              <c:numCache>
                <c:formatCode>General</c:formatCode>
                <c:ptCount val="12"/>
                <c:pt idx="0">
                  <c:v>22971.599999999999</c:v>
                </c:pt>
                <c:pt idx="1">
                  <c:v>28098</c:v>
                </c:pt>
                <c:pt idx="2">
                  <c:v>34748.595196080314</c:v>
                </c:pt>
                <c:pt idx="3">
                  <c:v>38397.5</c:v>
                </c:pt>
                <c:pt idx="4">
                  <c:v>39060.699999999997</c:v>
                </c:pt>
                <c:pt idx="5">
                  <c:v>38497</c:v>
                </c:pt>
                <c:pt idx="6">
                  <c:v>40621.78</c:v>
                </c:pt>
                <c:pt idx="7">
                  <c:v>28616.83</c:v>
                </c:pt>
                <c:pt idx="8">
                  <c:v>38218.46</c:v>
                </c:pt>
                <c:pt idx="9">
                  <c:v>43332.54</c:v>
                </c:pt>
                <c:pt idx="10">
                  <c:v>44022.094140249763</c:v>
                </c:pt>
                <c:pt idx="11">
                  <c:v>45827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466F-B46F-FBD69A860F02}"/>
            </c:ext>
          </c:extLst>
        </c:ser>
        <c:ser>
          <c:idx val="1"/>
          <c:order val="1"/>
          <c:tx>
            <c:strRef>
              <c:f>'Leasing (Maq+Veh+Inmob)'!$C$3:$C$4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(Maq+Veh+Inmob)'!$C$5:$C$17</c:f>
              <c:numCache>
                <c:formatCode>General</c:formatCode>
                <c:ptCount val="12"/>
                <c:pt idx="0">
                  <c:v>17975</c:v>
                </c:pt>
                <c:pt idx="1">
                  <c:v>18589.400000000001</c:v>
                </c:pt>
                <c:pt idx="2">
                  <c:v>20961.02560419192</c:v>
                </c:pt>
                <c:pt idx="3">
                  <c:v>22967.200000000001</c:v>
                </c:pt>
                <c:pt idx="4">
                  <c:v>24489.599999999999</c:v>
                </c:pt>
                <c:pt idx="5">
                  <c:v>27059</c:v>
                </c:pt>
                <c:pt idx="6">
                  <c:v>29476.3</c:v>
                </c:pt>
                <c:pt idx="7">
                  <c:v>23629</c:v>
                </c:pt>
                <c:pt idx="8">
                  <c:v>28819</c:v>
                </c:pt>
                <c:pt idx="9">
                  <c:v>29619</c:v>
                </c:pt>
                <c:pt idx="10">
                  <c:v>33915.377836349384</c:v>
                </c:pt>
                <c:pt idx="11">
                  <c:v>35842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0-466F-B46F-FBD69A860F02}"/>
            </c:ext>
          </c:extLst>
        </c:ser>
        <c:ser>
          <c:idx val="2"/>
          <c:order val="2"/>
          <c:tx>
            <c:strRef>
              <c:f>'Leasing (Maq+Veh+Inmob)'!$D$3:$D$4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(Maq+Veh+Inmob)'!$D$5:$D$17</c:f>
              <c:numCache>
                <c:formatCode>General</c:formatCode>
                <c:ptCount val="12"/>
                <c:pt idx="0">
                  <c:v>20592</c:v>
                </c:pt>
                <c:pt idx="1">
                  <c:v>23720</c:v>
                </c:pt>
                <c:pt idx="2">
                  <c:v>23082.906884276421</c:v>
                </c:pt>
                <c:pt idx="3">
                  <c:v>25633</c:v>
                </c:pt>
                <c:pt idx="4">
                  <c:v>25510</c:v>
                </c:pt>
                <c:pt idx="5">
                  <c:v>23972</c:v>
                </c:pt>
                <c:pt idx="6">
                  <c:v>26818</c:v>
                </c:pt>
                <c:pt idx="7">
                  <c:v>12024</c:v>
                </c:pt>
                <c:pt idx="8">
                  <c:v>13256</c:v>
                </c:pt>
                <c:pt idx="9">
                  <c:v>22210</c:v>
                </c:pt>
                <c:pt idx="10">
                  <c:v>30072.356215213356</c:v>
                </c:pt>
                <c:pt idx="11">
                  <c:v>32418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0-466F-B46F-FBD69A860F02}"/>
            </c:ext>
          </c:extLst>
        </c:ser>
        <c:ser>
          <c:idx val="3"/>
          <c:order val="3"/>
          <c:tx>
            <c:strRef>
              <c:f>'Leasing (Maq+Veh+Inmob)'!$E$3:$E$4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(Maq+Veh+Inmob)'!$E$5:$E$17</c:f>
              <c:numCache>
                <c:formatCode>General</c:formatCode>
                <c:ptCount val="12"/>
                <c:pt idx="0">
                  <c:v>7268</c:v>
                </c:pt>
                <c:pt idx="1">
                  <c:v>7679</c:v>
                </c:pt>
                <c:pt idx="2">
                  <c:v>7938.9482800458509</c:v>
                </c:pt>
                <c:pt idx="3">
                  <c:v>8977.9</c:v>
                </c:pt>
                <c:pt idx="4">
                  <c:v>9606</c:v>
                </c:pt>
                <c:pt idx="5">
                  <c:v>15651.4</c:v>
                </c:pt>
                <c:pt idx="6">
                  <c:v>14293.29</c:v>
                </c:pt>
                <c:pt idx="7">
                  <c:v>9630</c:v>
                </c:pt>
                <c:pt idx="8">
                  <c:v>14528</c:v>
                </c:pt>
                <c:pt idx="9">
                  <c:v>15500</c:v>
                </c:pt>
                <c:pt idx="10">
                  <c:v>18007.34522560336</c:v>
                </c:pt>
                <c:pt idx="11">
                  <c:v>17161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20-466F-B46F-FBD69A860F02}"/>
            </c:ext>
          </c:extLst>
        </c:ser>
        <c:ser>
          <c:idx val="4"/>
          <c:order val="4"/>
          <c:tx>
            <c:strRef>
              <c:f>'Leasing (Maq+Veh+Inmob)'!$F$3:$F$4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(Maq+Veh+Inmob)'!$F$5:$F$17</c:f>
              <c:numCache>
                <c:formatCode>General</c:formatCode>
                <c:ptCount val="12"/>
                <c:pt idx="0">
                  <c:v>3819.3</c:v>
                </c:pt>
                <c:pt idx="1">
                  <c:v>5041.3999999999996</c:v>
                </c:pt>
                <c:pt idx="2">
                  <c:v>5459.7647343193412</c:v>
                </c:pt>
                <c:pt idx="3">
                  <c:v>6427.2000000000007</c:v>
                </c:pt>
                <c:pt idx="4">
                  <c:v>7323.9000000000005</c:v>
                </c:pt>
                <c:pt idx="5">
                  <c:v>9130.9</c:v>
                </c:pt>
                <c:pt idx="6">
                  <c:v>9014.19</c:v>
                </c:pt>
                <c:pt idx="7">
                  <c:v>6743.4</c:v>
                </c:pt>
                <c:pt idx="8">
                  <c:v>8936.369999999999</c:v>
                </c:pt>
                <c:pt idx="9">
                  <c:v>8982.43</c:v>
                </c:pt>
                <c:pt idx="10">
                  <c:v>10304.098360655738</c:v>
                </c:pt>
                <c:pt idx="11">
                  <c:v>12571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20-466F-B46F-FBD69A860F02}"/>
            </c:ext>
          </c:extLst>
        </c:ser>
        <c:ser>
          <c:idx val="5"/>
          <c:order val="5"/>
          <c:tx>
            <c:strRef>
              <c:f>'Leasing (Maq+Veh+Inmob)'!$G$3:$G$4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(Maq+Veh+Inmob)'!$G$5:$G$17</c:f>
              <c:numCache>
                <c:formatCode>General</c:formatCode>
                <c:ptCount val="12"/>
                <c:pt idx="0">
                  <c:v>5905.8</c:v>
                </c:pt>
                <c:pt idx="1">
                  <c:v>5998.7</c:v>
                </c:pt>
                <c:pt idx="2">
                  <c:v>6464.1878839446472</c:v>
                </c:pt>
                <c:pt idx="3">
                  <c:v>7537.5999999999995</c:v>
                </c:pt>
                <c:pt idx="4">
                  <c:v>8311.9</c:v>
                </c:pt>
                <c:pt idx="5">
                  <c:v>5659.7999999999993</c:v>
                </c:pt>
                <c:pt idx="6">
                  <c:v>6906.77</c:v>
                </c:pt>
                <c:pt idx="7">
                  <c:v>6322.1599999999989</c:v>
                </c:pt>
                <c:pt idx="8">
                  <c:v>8586.6616009865284</c:v>
                </c:pt>
                <c:pt idx="9">
                  <c:v>9036.83</c:v>
                </c:pt>
                <c:pt idx="10">
                  <c:v>8509.1787439613527</c:v>
                </c:pt>
                <c:pt idx="11">
                  <c:v>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20-466F-B46F-FBD69A860F02}"/>
            </c:ext>
          </c:extLst>
        </c:ser>
        <c:ser>
          <c:idx val="6"/>
          <c:order val="6"/>
          <c:tx>
            <c:strRef>
              <c:f>'Leasing (Maq+Veh+Inmob)'!$H$3:$H$4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(Maq+Veh+Inmob)'!$H$5:$H$17</c:f>
              <c:numCache>
                <c:formatCode>General</c:formatCode>
                <c:ptCount val="12"/>
                <c:pt idx="0">
                  <c:v>3565.9</c:v>
                </c:pt>
                <c:pt idx="1">
                  <c:v>4513.6000000000004</c:v>
                </c:pt>
                <c:pt idx="2">
                  <c:v>5683.0731769780523</c:v>
                </c:pt>
                <c:pt idx="3">
                  <c:v>6401.3</c:v>
                </c:pt>
                <c:pt idx="4">
                  <c:v>7669.5</c:v>
                </c:pt>
                <c:pt idx="5">
                  <c:v>7842.2000000000007</c:v>
                </c:pt>
                <c:pt idx="6">
                  <c:v>9142.65</c:v>
                </c:pt>
                <c:pt idx="7">
                  <c:v>5217.57</c:v>
                </c:pt>
                <c:pt idx="8">
                  <c:v>7535.66</c:v>
                </c:pt>
                <c:pt idx="9">
                  <c:v>7790.99</c:v>
                </c:pt>
                <c:pt idx="10">
                  <c:v>9007.8157926854074</c:v>
                </c:pt>
                <c:pt idx="11">
                  <c:v>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20-466F-B46F-FBD69A860F02}"/>
            </c:ext>
          </c:extLst>
        </c:ser>
        <c:ser>
          <c:idx val="7"/>
          <c:order val="7"/>
          <c:tx>
            <c:strRef>
              <c:f>'Leasing (Maq+Veh+Inmob)'!$I$3:$I$4</c:f>
              <c:strCache>
                <c:ptCount val="1"/>
                <c:pt idx="0">
                  <c:v>RU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(Maq+Veh+Inmob)'!$I$5:$I$17</c:f>
              <c:numCache>
                <c:formatCode>General</c:formatCode>
                <c:ptCount val="12"/>
                <c:pt idx="0">
                  <c:v>8662.7999999999993</c:v>
                </c:pt>
                <c:pt idx="1">
                  <c:v>7167.9</c:v>
                </c:pt>
                <c:pt idx="2">
                  <c:v>3112.5864342092386</c:v>
                </c:pt>
                <c:pt idx="3">
                  <c:v>3507.9999999999995</c:v>
                </c:pt>
                <c:pt idx="4">
                  <c:v>6242.1</c:v>
                </c:pt>
                <c:pt idx="5">
                  <c:v>0</c:v>
                </c:pt>
                <c:pt idx="6">
                  <c:v>9900.32</c:v>
                </c:pt>
                <c:pt idx="7">
                  <c:v>7430.09</c:v>
                </c:pt>
                <c:pt idx="8">
                  <c:v>10552.74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20-466F-B46F-FBD69A860F02}"/>
            </c:ext>
          </c:extLst>
        </c:ser>
        <c:ser>
          <c:idx val="8"/>
          <c:order val="8"/>
          <c:tx>
            <c:strRef>
              <c:f>'Leasing (Maq+Veh+Inmob)'!$J$3:$J$4</c:f>
              <c:strCache>
                <c:ptCount val="1"/>
                <c:pt idx="0">
                  <c:v>BE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(Maq+Veh+Inmob)'!$J$5:$J$17</c:f>
              <c:numCache>
                <c:formatCode>General</c:formatCode>
                <c:ptCount val="12"/>
                <c:pt idx="0">
                  <c:v>1999.4</c:v>
                </c:pt>
                <c:pt idx="1">
                  <c:v>3248.4</c:v>
                </c:pt>
                <c:pt idx="2">
                  <c:v>3497.3082557398138</c:v>
                </c:pt>
                <c:pt idx="3">
                  <c:v>4329.6000000000004</c:v>
                </c:pt>
                <c:pt idx="4">
                  <c:v>4299.3999999999996</c:v>
                </c:pt>
                <c:pt idx="5">
                  <c:v>4512.2</c:v>
                </c:pt>
                <c:pt idx="6">
                  <c:v>4717.7800000000007</c:v>
                </c:pt>
                <c:pt idx="7">
                  <c:v>3858.43</c:v>
                </c:pt>
                <c:pt idx="8">
                  <c:v>4213.26</c:v>
                </c:pt>
                <c:pt idx="9">
                  <c:v>3524.3199999999997</c:v>
                </c:pt>
                <c:pt idx="10">
                  <c:v>4361.3861386138615</c:v>
                </c:pt>
                <c:pt idx="11">
                  <c:v>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20-466F-B46F-FBD69A860F02}"/>
            </c:ext>
          </c:extLst>
        </c:ser>
        <c:ser>
          <c:idx val="9"/>
          <c:order val="9"/>
          <c:tx>
            <c:strRef>
              <c:f>'Leasing (Maq+Veh+Inmob)'!$K$3:$K$4</c:f>
              <c:strCache>
                <c:ptCount val="1"/>
                <c:pt idx="0">
                  <c:v>DK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(Maq+Veh+Inmob)'!$K$5:$K$17</c:f>
              <c:numCache>
                <c:formatCode>General</c:formatCode>
                <c:ptCount val="12"/>
                <c:pt idx="0">
                  <c:v>2934.7</c:v>
                </c:pt>
                <c:pt idx="1">
                  <c:v>2812.5</c:v>
                </c:pt>
                <c:pt idx="2">
                  <c:v>3585.1440018072494</c:v>
                </c:pt>
                <c:pt idx="3">
                  <c:v>4281.3999999999996</c:v>
                </c:pt>
                <c:pt idx="4">
                  <c:v>4583.4000000000005</c:v>
                </c:pt>
                <c:pt idx="5">
                  <c:v>4473.3999999999996</c:v>
                </c:pt>
                <c:pt idx="6">
                  <c:v>4659.41</c:v>
                </c:pt>
                <c:pt idx="7">
                  <c:v>2772.38</c:v>
                </c:pt>
                <c:pt idx="8">
                  <c:v>3181.32</c:v>
                </c:pt>
                <c:pt idx="9">
                  <c:v>3461.6900000000005</c:v>
                </c:pt>
                <c:pt idx="10">
                  <c:v>3974.9999999999995</c:v>
                </c:pt>
                <c:pt idx="11">
                  <c:v>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20-466F-B46F-FBD69A860F02}"/>
            </c:ext>
          </c:extLst>
        </c:ser>
        <c:ser>
          <c:idx val="10"/>
          <c:order val="10"/>
          <c:tx>
            <c:strRef>
              <c:f>'Leasing (Maq+Veh+Inmob)'!$L$3:$L$4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(Maq+Veh+Inmob)'!$L$5:$L$17</c:f>
              <c:numCache>
                <c:formatCode>General</c:formatCode>
                <c:ptCount val="12"/>
                <c:pt idx="0">
                  <c:v>2669.3</c:v>
                </c:pt>
                <c:pt idx="1">
                  <c:v>2750.7</c:v>
                </c:pt>
                <c:pt idx="2">
                  <c:v>2378.4168748676429</c:v>
                </c:pt>
                <c:pt idx="3">
                  <c:v>2737.5</c:v>
                </c:pt>
                <c:pt idx="4">
                  <c:v>3291.3</c:v>
                </c:pt>
                <c:pt idx="5">
                  <c:v>3412.3</c:v>
                </c:pt>
                <c:pt idx="6">
                  <c:v>3315.4300000000003</c:v>
                </c:pt>
                <c:pt idx="7">
                  <c:v>2649.14</c:v>
                </c:pt>
                <c:pt idx="8">
                  <c:v>3348.98</c:v>
                </c:pt>
                <c:pt idx="9">
                  <c:v>3303.0499999999997</c:v>
                </c:pt>
                <c:pt idx="10">
                  <c:v>3328.5984848484845</c:v>
                </c:pt>
                <c:pt idx="11">
                  <c:v>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20-466F-B46F-FBD69A860F02}"/>
            </c:ext>
          </c:extLst>
        </c:ser>
        <c:ser>
          <c:idx val="11"/>
          <c:order val="11"/>
          <c:tx>
            <c:strRef>
              <c:f>'Leasing (Maq+Veh+Inmob)'!$M$3:$M$4</c:f>
              <c:strCache>
                <c:ptCount val="1"/>
                <c:pt idx="0">
                  <c:v>AT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(Maq+Veh+Inmob)'!$M$5:$M$17</c:f>
              <c:numCache>
                <c:formatCode>General</c:formatCode>
                <c:ptCount val="12"/>
                <c:pt idx="1">
                  <c:v>5239</c:v>
                </c:pt>
                <c:pt idx="2">
                  <c:v>2935.0246966689588</c:v>
                </c:pt>
                <c:pt idx="3">
                  <c:v>3172</c:v>
                </c:pt>
                <c:pt idx="4">
                  <c:v>3366.2</c:v>
                </c:pt>
                <c:pt idx="5">
                  <c:v>3876.7</c:v>
                </c:pt>
                <c:pt idx="6">
                  <c:v>4424.47</c:v>
                </c:pt>
                <c:pt idx="7">
                  <c:v>3695.51</c:v>
                </c:pt>
                <c:pt idx="8">
                  <c:v>3872.4800000000005</c:v>
                </c:pt>
                <c:pt idx="9">
                  <c:v>4311.7299999999996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420-466F-B46F-FBD69A860F02}"/>
            </c:ext>
          </c:extLst>
        </c:ser>
        <c:ser>
          <c:idx val="12"/>
          <c:order val="12"/>
          <c:tx>
            <c:strRef>
              <c:f>'Leasing (Maq+Veh+Inmob)'!$N$3:$N$4</c:f>
              <c:strCache>
                <c:ptCount val="1"/>
                <c:pt idx="0">
                  <c:v>CH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(Maq+Veh+Inmob)'!$N$5:$N$17</c:f>
              <c:numCache>
                <c:formatCode>General</c:formatCode>
                <c:ptCount val="12"/>
                <c:pt idx="0">
                  <c:v>4124.6000000000004</c:v>
                </c:pt>
                <c:pt idx="1">
                  <c:v>4211.3999999999996</c:v>
                </c:pt>
                <c:pt idx="2">
                  <c:v>4524.5833301835837</c:v>
                </c:pt>
                <c:pt idx="3">
                  <c:v>4667.7</c:v>
                </c:pt>
                <c:pt idx="4">
                  <c:v>4706.5999999999995</c:v>
                </c:pt>
                <c:pt idx="5">
                  <c:v>4529.8999999999996</c:v>
                </c:pt>
                <c:pt idx="6">
                  <c:v>5090.9799999999996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20-466F-B46F-FBD69A860F02}"/>
            </c:ext>
          </c:extLst>
        </c:ser>
        <c:ser>
          <c:idx val="13"/>
          <c:order val="13"/>
          <c:tx>
            <c:strRef>
              <c:f>'Leasing (Maq+Veh+Inmob)'!$O$3:$O$4</c:f>
              <c:strCache>
                <c:ptCount val="1"/>
                <c:pt idx="0">
                  <c:v>TR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(Maq+Veh+Inmob)'!$O$5:$O$17</c:f>
              <c:numCache>
                <c:formatCode>General</c:formatCode>
                <c:ptCount val="12"/>
                <c:pt idx="0">
                  <c:v>351</c:v>
                </c:pt>
                <c:pt idx="1">
                  <c:v>657.9</c:v>
                </c:pt>
                <c:pt idx="2">
                  <c:v>3270.8018585388008</c:v>
                </c:pt>
                <c:pt idx="3">
                  <c:v>3873.1</c:v>
                </c:pt>
                <c:pt idx="4">
                  <c:v>4029.3</c:v>
                </c:pt>
                <c:pt idx="5">
                  <c:v>3261.6</c:v>
                </c:pt>
                <c:pt idx="6">
                  <c:v>1236.1199999999999</c:v>
                </c:pt>
                <c:pt idx="7">
                  <c:v>1612.3999999999999</c:v>
                </c:pt>
                <c:pt idx="8">
                  <c:v>2343.36</c:v>
                </c:pt>
                <c:pt idx="9">
                  <c:v>2512.35</c:v>
                </c:pt>
                <c:pt idx="10">
                  <c:v>2851.6201376537006</c:v>
                </c:pt>
                <c:pt idx="11">
                  <c:v>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420-466F-B46F-FBD69A860F02}"/>
            </c:ext>
          </c:extLst>
        </c:ser>
        <c:ser>
          <c:idx val="14"/>
          <c:order val="14"/>
          <c:tx>
            <c:strRef>
              <c:f>'Leasing (Maq+Veh+Inmob)'!$P$3:$P$4</c:f>
              <c:strCache>
                <c:ptCount val="1"/>
                <c:pt idx="0">
                  <c:v>CZ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(Maq+Veh+Inmob)'!$P$5:$P$17</c:f>
              <c:numCache>
                <c:formatCode>General</c:formatCode>
                <c:ptCount val="12"/>
                <c:pt idx="0">
                  <c:v>717.2</c:v>
                </c:pt>
                <c:pt idx="1">
                  <c:v>793.3</c:v>
                </c:pt>
                <c:pt idx="2">
                  <c:v>932.76797373197462</c:v>
                </c:pt>
                <c:pt idx="3">
                  <c:v>1187.3</c:v>
                </c:pt>
                <c:pt idx="4">
                  <c:v>1180.8</c:v>
                </c:pt>
                <c:pt idx="5">
                  <c:v>2178.9</c:v>
                </c:pt>
                <c:pt idx="6">
                  <c:v>1883.54</c:v>
                </c:pt>
                <c:pt idx="7">
                  <c:v>1498.72</c:v>
                </c:pt>
                <c:pt idx="8">
                  <c:v>1791.6</c:v>
                </c:pt>
                <c:pt idx="9">
                  <c:v>2141.1799999999998</c:v>
                </c:pt>
                <c:pt idx="10">
                  <c:v>2557.3280159521437</c:v>
                </c:pt>
                <c:pt idx="11">
                  <c:v>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20-466F-B46F-FBD69A860F02}"/>
            </c:ext>
          </c:extLst>
        </c:ser>
        <c:ser>
          <c:idx val="15"/>
          <c:order val="15"/>
          <c:tx>
            <c:strRef>
              <c:f>'Leasing (Maq+Veh+Inmob)'!$Q$3:$Q$4</c:f>
              <c:strCache>
                <c:ptCount val="1"/>
                <c:pt idx="0">
                  <c:v>PT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(Maq+Veh+Inmob)'!$Q$5:$Q$17</c:f>
              <c:numCache>
                <c:formatCode>General</c:formatCode>
                <c:ptCount val="12"/>
                <c:pt idx="0">
                  <c:v>880</c:v>
                </c:pt>
                <c:pt idx="1">
                  <c:v>1262</c:v>
                </c:pt>
                <c:pt idx="2">
                  <c:v>1293.0044953152935</c:v>
                </c:pt>
                <c:pt idx="3">
                  <c:v>1493</c:v>
                </c:pt>
                <c:pt idx="4">
                  <c:v>1563</c:v>
                </c:pt>
                <c:pt idx="5">
                  <c:v>1845</c:v>
                </c:pt>
                <c:pt idx="6">
                  <c:v>1816</c:v>
                </c:pt>
                <c:pt idx="7">
                  <c:v>1393</c:v>
                </c:pt>
                <c:pt idx="8">
                  <c:v>1498</c:v>
                </c:pt>
                <c:pt idx="9">
                  <c:v>1431</c:v>
                </c:pt>
                <c:pt idx="10">
                  <c:v>1640.6003159557661</c:v>
                </c:pt>
                <c:pt idx="11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420-466F-B46F-FBD69A860F02}"/>
            </c:ext>
          </c:extLst>
        </c:ser>
        <c:ser>
          <c:idx val="16"/>
          <c:order val="16"/>
          <c:tx>
            <c:strRef>
              <c:f>'Leasing (Maq+Veh+Inmob)'!$R$3:$R$4</c:f>
              <c:strCache>
                <c:ptCount val="1"/>
                <c:pt idx="0">
                  <c:v>NL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(Maq+Veh+Inmob)'!$R$5:$R$17</c:f>
              <c:numCache>
                <c:formatCode>General</c:formatCode>
                <c:ptCount val="12"/>
                <c:pt idx="0">
                  <c:v>2069</c:v>
                </c:pt>
                <c:pt idx="1">
                  <c:v>1948</c:v>
                </c:pt>
                <c:pt idx="2">
                  <c:v>2727</c:v>
                </c:pt>
                <c:pt idx="3">
                  <c:v>2727</c:v>
                </c:pt>
                <c:pt idx="4">
                  <c:v>0</c:v>
                </c:pt>
                <c:pt idx="5">
                  <c:v>3459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3477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420-466F-B46F-FBD69A860F02}"/>
            </c:ext>
          </c:extLst>
        </c:ser>
        <c:ser>
          <c:idx val="17"/>
          <c:order val="17"/>
          <c:tx>
            <c:strRef>
              <c:f>'Leasing (Maq+Veh+Inmob)'!$S$3:$S$4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(Maq+Veh+Inmob)'!$S$5:$S$17</c:f>
              <c:numCache>
                <c:formatCode>General</c:formatCode>
                <c:ptCount val="12"/>
                <c:pt idx="0">
                  <c:v>847.6</c:v>
                </c:pt>
                <c:pt idx="1">
                  <c:v>900.7</c:v>
                </c:pt>
                <c:pt idx="2">
                  <c:v>930.26908808601956</c:v>
                </c:pt>
                <c:pt idx="3">
                  <c:v>1069.3</c:v>
                </c:pt>
                <c:pt idx="4">
                  <c:v>1125</c:v>
                </c:pt>
                <c:pt idx="5">
                  <c:v>1176.4000000000001</c:v>
                </c:pt>
                <c:pt idx="6">
                  <c:v>1262.9199999999998</c:v>
                </c:pt>
                <c:pt idx="7">
                  <c:v>981</c:v>
                </c:pt>
                <c:pt idx="8">
                  <c:v>1151</c:v>
                </c:pt>
                <c:pt idx="9">
                  <c:v>1359</c:v>
                </c:pt>
                <c:pt idx="10">
                  <c:v>1703.1408308004052</c:v>
                </c:pt>
                <c:pt idx="11">
                  <c:v>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420-466F-B46F-FBD69A860F02}"/>
            </c:ext>
          </c:extLst>
        </c:ser>
        <c:ser>
          <c:idx val="18"/>
          <c:order val="18"/>
          <c:tx>
            <c:strRef>
              <c:f>'Leasing (Maq+Veh+Inmob)'!$T$3:$T$4</c:f>
              <c:strCache>
                <c:ptCount val="1"/>
                <c:pt idx="0">
                  <c:v>LT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(Maq+Veh+Inmob)'!$T$5:$T$17</c:f>
              <c:numCache>
                <c:formatCode>General</c:formatCode>
                <c:ptCount val="12"/>
                <c:pt idx="0">
                  <c:v>383.8</c:v>
                </c:pt>
                <c:pt idx="1">
                  <c:v>532.70000000000005</c:v>
                </c:pt>
                <c:pt idx="2">
                  <c:v>461.00057236265474</c:v>
                </c:pt>
                <c:pt idx="3">
                  <c:v>762</c:v>
                </c:pt>
                <c:pt idx="4">
                  <c:v>810</c:v>
                </c:pt>
                <c:pt idx="5">
                  <c:v>1019</c:v>
                </c:pt>
                <c:pt idx="6">
                  <c:v>975</c:v>
                </c:pt>
                <c:pt idx="7">
                  <c:v>609</c:v>
                </c:pt>
                <c:pt idx="8">
                  <c:v>1050</c:v>
                </c:pt>
                <c:pt idx="9">
                  <c:v>992</c:v>
                </c:pt>
                <c:pt idx="10">
                  <c:v>1132.4701195219122</c:v>
                </c:pt>
                <c:pt idx="11">
                  <c:v>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20-466F-B46F-FBD69A860F02}"/>
            </c:ext>
          </c:extLst>
        </c:ser>
        <c:ser>
          <c:idx val="19"/>
          <c:order val="19"/>
          <c:tx>
            <c:strRef>
              <c:f>'Leasing (Maq+Veh+Inmob)'!$U$3:$U$4</c:f>
              <c:strCache>
                <c:ptCount val="1"/>
                <c:pt idx="0">
                  <c:v>HU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(Maq+Veh+Inmob)'!$U$5:$U$17</c:f>
              <c:numCache>
                <c:formatCode>General</c:formatCode>
                <c:ptCount val="12"/>
                <c:pt idx="2">
                  <c:v>668.39041028555073</c:v>
                </c:pt>
                <c:pt idx="3">
                  <c:v>753.1</c:v>
                </c:pt>
                <c:pt idx="4">
                  <c:v>897.8</c:v>
                </c:pt>
                <c:pt idx="5">
                  <c:v>1038.5999999999999</c:v>
                </c:pt>
                <c:pt idx="6">
                  <c:v>1170.29</c:v>
                </c:pt>
                <c:pt idx="7">
                  <c:v>743.38</c:v>
                </c:pt>
                <c:pt idx="8">
                  <c:v>976.81</c:v>
                </c:pt>
                <c:pt idx="9">
                  <c:v>1120.48</c:v>
                </c:pt>
                <c:pt idx="10">
                  <c:v>1152.0076481835563</c:v>
                </c:pt>
                <c:pt idx="11">
                  <c:v>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420-466F-B46F-FBD69A860F02}"/>
            </c:ext>
          </c:extLst>
        </c:ser>
        <c:ser>
          <c:idx val="20"/>
          <c:order val="20"/>
          <c:tx>
            <c:strRef>
              <c:f>'Leasing (Maq+Veh+Inmob)'!$V$3:$V$4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(Maq+Veh+Inmob)'!$V$5:$V$17</c:f>
              <c:numCache>
                <c:formatCode>General</c:formatCode>
                <c:ptCount val="12"/>
                <c:pt idx="0">
                  <c:v>1596</c:v>
                </c:pt>
                <c:pt idx="1">
                  <c:v>1732</c:v>
                </c:pt>
                <c:pt idx="2">
                  <c:v>1913.9851061707318</c:v>
                </c:pt>
                <c:pt idx="3">
                  <c:v>2161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420-466F-B46F-FBD69A860F02}"/>
            </c:ext>
          </c:extLst>
        </c:ser>
        <c:ser>
          <c:idx val="21"/>
          <c:order val="21"/>
          <c:tx>
            <c:strRef>
              <c:f>'Leasing (Maq+Veh+Inmob)'!$W$3:$W$4</c:f>
              <c:strCache>
                <c:ptCount val="1"/>
                <c:pt idx="0">
                  <c:v>MA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(Maq+Veh+Inmob)'!$W$5:$W$17</c:f>
              <c:numCache>
                <c:formatCode>General</c:formatCode>
                <c:ptCount val="12"/>
                <c:pt idx="0">
                  <c:v>527.1</c:v>
                </c:pt>
                <c:pt idx="1">
                  <c:v>621.9</c:v>
                </c:pt>
                <c:pt idx="2">
                  <c:v>689.98714876627298</c:v>
                </c:pt>
                <c:pt idx="3">
                  <c:v>781.60000000000014</c:v>
                </c:pt>
                <c:pt idx="4">
                  <c:v>886.4</c:v>
                </c:pt>
                <c:pt idx="5">
                  <c:v>895.1</c:v>
                </c:pt>
                <c:pt idx="6">
                  <c:v>0</c:v>
                </c:pt>
                <c:pt idx="7">
                  <c:v>0</c:v>
                </c:pt>
                <c:pt idx="8">
                  <c:v>605.67000000000007</c:v>
                </c:pt>
                <c:pt idx="9">
                  <c:v>651.71</c:v>
                </c:pt>
                <c:pt idx="10">
                  <c:v>754.30210325047801</c:v>
                </c:pt>
                <c:pt idx="11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420-466F-B46F-FBD69A860F02}"/>
            </c:ext>
          </c:extLst>
        </c:ser>
        <c:ser>
          <c:idx val="22"/>
          <c:order val="22"/>
          <c:tx>
            <c:strRef>
              <c:f>'Leasing (Maq+Veh+Inmob)'!$X$3:$X$4</c:f>
              <c:strCache>
                <c:ptCount val="1"/>
                <c:pt idx="0">
                  <c:v>EE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(Maq+Veh+Inmob)'!$X$5:$X$17</c:f>
              <c:numCache>
                <c:formatCode>General</c:formatCode>
                <c:ptCount val="12"/>
                <c:pt idx="0">
                  <c:v>454</c:v>
                </c:pt>
                <c:pt idx="1">
                  <c:v>427</c:v>
                </c:pt>
                <c:pt idx="2">
                  <c:v>445.99536232054481</c:v>
                </c:pt>
                <c:pt idx="3">
                  <c:v>567</c:v>
                </c:pt>
                <c:pt idx="4">
                  <c:v>628</c:v>
                </c:pt>
                <c:pt idx="5">
                  <c:v>663</c:v>
                </c:pt>
                <c:pt idx="6">
                  <c:v>626</c:v>
                </c:pt>
                <c:pt idx="7">
                  <c:v>424</c:v>
                </c:pt>
                <c:pt idx="8">
                  <c:v>615</c:v>
                </c:pt>
                <c:pt idx="9">
                  <c:v>680</c:v>
                </c:pt>
                <c:pt idx="10">
                  <c:v>663.15789473684208</c:v>
                </c:pt>
                <c:pt idx="11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420-466F-B46F-FBD69A860F02}"/>
            </c:ext>
          </c:extLst>
        </c:ser>
        <c:ser>
          <c:idx val="23"/>
          <c:order val="23"/>
          <c:tx>
            <c:strRef>
              <c:f>'Leasing (Maq+Veh+Inmob)'!$Y$3:$Y$4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(Maq+Veh+Inmob)'!$Y$5:$Y$17</c:f>
              <c:numCache>
                <c:formatCode>General</c:formatCode>
                <c:ptCount val="12"/>
                <c:pt idx="0">
                  <c:v>425</c:v>
                </c:pt>
                <c:pt idx="1">
                  <c:v>358</c:v>
                </c:pt>
                <c:pt idx="2">
                  <c:v>377.9932735119325</c:v>
                </c:pt>
                <c:pt idx="3">
                  <c:v>599.80000000000007</c:v>
                </c:pt>
                <c:pt idx="4">
                  <c:v>659.59999999999991</c:v>
                </c:pt>
                <c:pt idx="5">
                  <c:v>686.59999999999991</c:v>
                </c:pt>
                <c:pt idx="6">
                  <c:v>678.22</c:v>
                </c:pt>
                <c:pt idx="7">
                  <c:v>516.4</c:v>
                </c:pt>
                <c:pt idx="8">
                  <c:v>705.33</c:v>
                </c:pt>
                <c:pt idx="10">
                  <c:v>887.02928870292885</c:v>
                </c:pt>
                <c:pt idx="11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420-466F-B46F-FBD69A860F02}"/>
            </c:ext>
          </c:extLst>
        </c:ser>
        <c:ser>
          <c:idx val="24"/>
          <c:order val="24"/>
          <c:tx>
            <c:strRef>
              <c:f>'Leasing (Maq+Veh+Inmob)'!$Z$3:$Z$4</c:f>
              <c:strCache>
                <c:ptCount val="1"/>
                <c:pt idx="0">
                  <c:v>BG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(Maq+Veh+Inmob)'!$Z$5:$Z$17</c:f>
              <c:numCache>
                <c:formatCode>General</c:formatCode>
                <c:ptCount val="12"/>
                <c:pt idx="0">
                  <c:v>273.89999999999998</c:v>
                </c:pt>
                <c:pt idx="1">
                  <c:v>301.10000000000002</c:v>
                </c:pt>
                <c:pt idx="2">
                  <c:v>343.24766462517096</c:v>
                </c:pt>
                <c:pt idx="3">
                  <c:v>373.6</c:v>
                </c:pt>
                <c:pt idx="4">
                  <c:v>422.2</c:v>
                </c:pt>
                <c:pt idx="5">
                  <c:v>512.6</c:v>
                </c:pt>
                <c:pt idx="6">
                  <c:v>575.77</c:v>
                </c:pt>
                <c:pt idx="7">
                  <c:v>420.22999999999996</c:v>
                </c:pt>
                <c:pt idx="8">
                  <c:v>562.22</c:v>
                </c:pt>
                <c:pt idx="9">
                  <c:v>637.36</c:v>
                </c:pt>
                <c:pt idx="10">
                  <c:v>789.76744186046517</c:v>
                </c:pt>
                <c:pt idx="11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420-466F-B46F-FBD69A860F02}"/>
            </c:ext>
          </c:extLst>
        </c:ser>
        <c:ser>
          <c:idx val="25"/>
          <c:order val="25"/>
          <c:tx>
            <c:strRef>
              <c:f>'Leasing (Maq+Veh+Inmob)'!$AA$3:$AA$4</c:f>
              <c:strCache>
                <c:ptCount val="1"/>
                <c:pt idx="0">
                  <c:v>LV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(Maq+Veh+Inmob)'!$AA$5:$AA$17</c:f>
              <c:numCache>
                <c:formatCode>General</c:formatCode>
                <c:ptCount val="12"/>
                <c:pt idx="0">
                  <c:v>282.8</c:v>
                </c:pt>
                <c:pt idx="1">
                  <c:v>275.3</c:v>
                </c:pt>
                <c:pt idx="2">
                  <c:v>328.50425166262545</c:v>
                </c:pt>
                <c:pt idx="3">
                  <c:v>342.1</c:v>
                </c:pt>
                <c:pt idx="4">
                  <c:v>390.3</c:v>
                </c:pt>
                <c:pt idx="5">
                  <c:v>602</c:v>
                </c:pt>
                <c:pt idx="6">
                  <c:v>412</c:v>
                </c:pt>
                <c:pt idx="7">
                  <c:v>229</c:v>
                </c:pt>
                <c:pt idx="8">
                  <c:v>334</c:v>
                </c:pt>
                <c:pt idx="9">
                  <c:v>373</c:v>
                </c:pt>
                <c:pt idx="10">
                  <c:v>484.99399759903963</c:v>
                </c:pt>
                <c:pt idx="1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420-466F-B46F-FBD69A860F02}"/>
            </c:ext>
          </c:extLst>
        </c:ser>
        <c:ser>
          <c:idx val="26"/>
          <c:order val="26"/>
          <c:tx>
            <c:strRef>
              <c:f>'Leasing (Maq+Veh+Inmob)'!$AB$3:$AB$4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(Maq+Veh+Inmob)'!$AB$5:$AB$17</c:f>
              <c:numCache>
                <c:formatCode>General</c:formatCode>
                <c:ptCount val="1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413.88999999999993</c:v>
                </c:pt>
                <c:pt idx="8">
                  <c:v>548.69999999999993</c:v>
                </c:pt>
                <c:pt idx="9">
                  <c:v>702.38000000000011</c:v>
                </c:pt>
                <c:pt idx="10">
                  <c:v>926.04765817584212</c:v>
                </c:pt>
                <c:pt idx="11">
                  <c:v>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420-466F-B46F-FBD69A860F02}"/>
            </c:ext>
          </c:extLst>
        </c:ser>
        <c:ser>
          <c:idx val="27"/>
          <c:order val="27"/>
          <c:tx>
            <c:strRef>
              <c:f>'Leasing (Maq+Veh+Inmob)'!$AC$3:$AC$4</c:f>
              <c:strCache>
                <c:ptCount val="1"/>
                <c:pt idx="0">
                  <c:v>GR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(Maq+Veh+Inmob)'!$AC$5:$AC$17</c:f>
              <c:numCache>
                <c:formatCode>General</c:formatCode>
                <c:ptCount val="12"/>
                <c:pt idx="1">
                  <c:v>88</c:v>
                </c:pt>
                <c:pt idx="2">
                  <c:v>84.831922034561089</c:v>
                </c:pt>
                <c:pt idx="3">
                  <c:v>126.89999999999999</c:v>
                </c:pt>
                <c:pt idx="4">
                  <c:v>266</c:v>
                </c:pt>
                <c:pt idx="5">
                  <c:v>156.69999999999999</c:v>
                </c:pt>
                <c:pt idx="6">
                  <c:v>197.53</c:v>
                </c:pt>
                <c:pt idx="7">
                  <c:v>221.16</c:v>
                </c:pt>
                <c:pt idx="8">
                  <c:v>274.78999999999996</c:v>
                </c:pt>
                <c:pt idx="9">
                  <c:v>216.93</c:v>
                </c:pt>
                <c:pt idx="10">
                  <c:v>324.11067193675888</c:v>
                </c:pt>
                <c:pt idx="11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420-466F-B46F-FBD69A860F02}"/>
            </c:ext>
          </c:extLst>
        </c:ser>
        <c:ser>
          <c:idx val="28"/>
          <c:order val="28"/>
          <c:tx>
            <c:strRef>
              <c:f>'Leasing (Maq+Veh+Inmob)'!$AD$3:$AD$4</c:f>
              <c:strCache>
                <c:ptCount val="1"/>
                <c:pt idx="0">
                  <c:v>UA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(Maq+Veh+Inmob)'!$A$5:$A$17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(Maq+Veh+Inmob)'!$AD$5:$AD$17</c:f>
              <c:numCache>
                <c:formatCode>General</c:formatCode>
                <c:ptCount val="12"/>
                <c:pt idx="1">
                  <c:v>109.3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277.02999999999997</c:v>
                </c:pt>
                <c:pt idx="7">
                  <c:v>293.63</c:v>
                </c:pt>
                <c:pt idx="8">
                  <c:v>475.28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420-466F-B46F-FBD69A860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0146192"/>
        <c:axId val="700146672"/>
      </c:barChart>
      <c:catAx>
        <c:axId val="7001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0146672"/>
        <c:crosses val="autoZero"/>
        <c:auto val="1"/>
        <c:lblAlgn val="ctr"/>
        <c:lblOffset val="100"/>
        <c:noMultiLvlLbl val="0"/>
      </c:catAx>
      <c:valAx>
        <c:axId val="7001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01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7552417629442"/>
          <c:y val="0.19292723826188393"/>
          <c:w val="0.17415489944373128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Crecimiento leasing</a:t>
            </a:r>
            <a:r>
              <a:rPr lang="es-ES" baseline="0"/>
              <a:t> por país</a:t>
            </a:r>
            <a:endParaRPr lang="es-ES"/>
          </a:p>
        </c:rich>
      </c:tx>
      <c:layout>
        <c:manualLayout>
          <c:xMode val="edge"/>
          <c:yMode val="edge"/>
          <c:x val="0.39242892719052191"/>
          <c:y val="2.3222057419432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'Leasing (Maq+Veh+Inmob)'!$B$36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(Maq+Veh+Inmob)'!$B$37:$B$47</c:f>
              <c:numCache>
                <c:formatCode>0%</c:formatCode>
                <c:ptCount val="11"/>
                <c:pt idx="0">
                  <c:v>0.2231625137125843</c:v>
                </c:pt>
                <c:pt idx="1">
                  <c:v>0.23669283209055142</c:v>
                </c:pt>
                <c:pt idx="2">
                  <c:v>0.10500869987202496</c:v>
                </c:pt>
                <c:pt idx="3">
                  <c:v>1.7271957809753165E-2</c:v>
                </c:pt>
                <c:pt idx="4">
                  <c:v>-1.4431384998220645E-2</c:v>
                </c:pt>
                <c:pt idx="5">
                  <c:v>5.5193391692859153E-2</c:v>
                </c:pt>
                <c:pt idx="6">
                  <c:v>-0.29552988569186278</c:v>
                </c:pt>
                <c:pt idx="7">
                  <c:v>0.33552388576931813</c:v>
                </c:pt>
                <c:pt idx="8">
                  <c:v>0.13381177577537143</c:v>
                </c:pt>
                <c:pt idx="9">
                  <c:v>1.5913079183674947E-2</c:v>
                </c:pt>
                <c:pt idx="10">
                  <c:v>4.0999999999999925E-2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F-4437-924A-D0E15D324C65}"/>
            </c:ext>
          </c:extLst>
        </c:ser>
        <c:ser>
          <c:idx val="1"/>
          <c:order val="1"/>
          <c:tx>
            <c:strRef>
              <c:f>'Leasing (Maq+Veh+Inmob)'!$C$36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(Maq+Veh+Inmob)'!$C$37:$C$47</c:f>
              <c:numCache>
                <c:formatCode>0%</c:formatCode>
                <c:ptCount val="11"/>
                <c:pt idx="0">
                  <c:v>3.4180806675938882E-2</c:v>
                </c:pt>
                <c:pt idx="1">
                  <c:v>0.12757945948723029</c:v>
                </c:pt>
                <c:pt idx="2">
                  <c:v>9.5709744059797958E-2</c:v>
                </c:pt>
                <c:pt idx="3">
                  <c:v>6.6285833710682959E-2</c:v>
                </c:pt>
                <c:pt idx="4">
                  <c:v>0.10491800601071481</c:v>
                </c:pt>
                <c:pt idx="5">
                  <c:v>8.9334417384234421E-2</c:v>
                </c:pt>
                <c:pt idx="6">
                  <c:v>-0.19837293011673784</c:v>
                </c:pt>
                <c:pt idx="7">
                  <c:v>0.21964535105167379</c:v>
                </c:pt>
                <c:pt idx="8">
                  <c:v>2.7759464242340121E-2</c:v>
                </c:pt>
                <c:pt idx="9">
                  <c:v>0.14505479038284155</c:v>
                </c:pt>
                <c:pt idx="10">
                  <c:v>5.6806743328854381E-2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F-4437-924A-D0E15D324C65}"/>
            </c:ext>
          </c:extLst>
        </c:ser>
        <c:ser>
          <c:idx val="2"/>
          <c:order val="2"/>
          <c:tx>
            <c:strRef>
              <c:f>'Leasing (Maq+Veh+Inmob)'!$D$36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(Maq+Veh+Inmob)'!$D$37:$D$47</c:f>
              <c:numCache>
                <c:formatCode>0%</c:formatCode>
                <c:ptCount val="11"/>
                <c:pt idx="0">
                  <c:v>0.1519036519036519</c:v>
                </c:pt>
                <c:pt idx="1">
                  <c:v>-2.6858900325614634E-2</c:v>
                </c:pt>
                <c:pt idx="2">
                  <c:v>0.11047538893208669</c:v>
                </c:pt>
                <c:pt idx="3">
                  <c:v>-4.7985019311044359E-3</c:v>
                </c:pt>
                <c:pt idx="4">
                  <c:v>-6.0290082320658564E-2</c:v>
                </c:pt>
                <c:pt idx="5">
                  <c:v>0.11872184214917404</c:v>
                </c:pt>
                <c:pt idx="6">
                  <c:v>-0.55164441792825714</c:v>
                </c:pt>
                <c:pt idx="7">
                  <c:v>0.10246174318030606</c:v>
                </c:pt>
                <c:pt idx="8">
                  <c:v>0.67546771273385642</c:v>
                </c:pt>
                <c:pt idx="9">
                  <c:v>0.35400073008614841</c:v>
                </c:pt>
                <c:pt idx="10">
                  <c:v>7.8000000000000055E-2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2F-4437-924A-D0E15D324C65}"/>
            </c:ext>
          </c:extLst>
        </c:ser>
        <c:ser>
          <c:idx val="3"/>
          <c:order val="3"/>
          <c:tx>
            <c:strRef>
              <c:f>'Leasing (Maq+Veh+Inmob)'!$E$36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(Maq+Veh+Inmob)'!$E$37:$E$47</c:f>
              <c:numCache>
                <c:formatCode>0%</c:formatCode>
                <c:ptCount val="11"/>
                <c:pt idx="0">
                  <c:v>5.6549257017061087E-2</c:v>
                </c:pt>
                <c:pt idx="1">
                  <c:v>3.3851840089315133E-2</c:v>
                </c:pt>
                <c:pt idx="2">
                  <c:v>0.1308676770908688</c:v>
                </c:pt>
                <c:pt idx="3">
                  <c:v>6.9960681228349655E-2</c:v>
                </c:pt>
                <c:pt idx="4">
                  <c:v>0.6293358317718093</c:v>
                </c:pt>
                <c:pt idx="5">
                  <c:v>-8.677242930344882E-2</c:v>
                </c:pt>
                <c:pt idx="6">
                  <c:v>-0.32625728576136082</c:v>
                </c:pt>
                <c:pt idx="7">
                  <c:v>0.50861889927310489</c:v>
                </c:pt>
                <c:pt idx="8">
                  <c:v>6.6905286343612341E-2</c:v>
                </c:pt>
                <c:pt idx="9">
                  <c:v>0.16176420810344255</c:v>
                </c:pt>
                <c:pt idx="10">
                  <c:v>-4.7000000000000104E-2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2F-4437-924A-D0E15D324C65}"/>
            </c:ext>
          </c:extLst>
        </c:ser>
        <c:ser>
          <c:idx val="4"/>
          <c:order val="4"/>
          <c:tx>
            <c:strRef>
              <c:f>'Leasing (Maq+Veh+Inmob)'!$F$36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(Maq+Veh+Inmob)'!$F$37:$F$47</c:f>
              <c:numCache>
                <c:formatCode>0%</c:formatCode>
                <c:ptCount val="11"/>
                <c:pt idx="0">
                  <c:v>0.31998010106564012</c:v>
                </c:pt>
                <c:pt idx="1">
                  <c:v>8.2985824239168005E-2</c:v>
                </c:pt>
                <c:pt idx="2">
                  <c:v>0.17719358118116199</c:v>
                </c:pt>
                <c:pt idx="3">
                  <c:v>0.13951643017176993</c:v>
                </c:pt>
                <c:pt idx="4">
                  <c:v>0.24672647086934543</c:v>
                </c:pt>
                <c:pt idx="5">
                  <c:v>-1.2781872542684635E-2</c:v>
                </c:pt>
                <c:pt idx="6">
                  <c:v>-0.25191281745780825</c:v>
                </c:pt>
                <c:pt idx="7">
                  <c:v>0.32520242014414086</c:v>
                </c:pt>
                <c:pt idx="8">
                  <c:v>5.1542180997431073E-3</c:v>
                </c:pt>
                <c:pt idx="9">
                  <c:v>0.14713928866194761</c:v>
                </c:pt>
                <c:pt idx="10">
                  <c:v>0.21999999999999992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2F-4437-924A-D0E15D324C65}"/>
            </c:ext>
          </c:extLst>
        </c:ser>
        <c:ser>
          <c:idx val="5"/>
          <c:order val="5"/>
          <c:tx>
            <c:strRef>
              <c:f>'Leasing (Maq+Veh+Inmob)'!$G$36</c:f>
              <c:strCache>
                <c:ptCount val="1"/>
                <c:pt idx="0">
                  <c:v>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(Maq+Veh+Inmob)'!$G$37:$G$47</c:f>
              <c:numCache>
                <c:formatCode>0%</c:formatCode>
                <c:ptCount val="11"/>
                <c:pt idx="0">
                  <c:v>1.5730299028074036E-2</c:v>
                </c:pt>
                <c:pt idx="1">
                  <c:v>7.7598126918273516E-2</c:v>
                </c:pt>
                <c:pt idx="2">
                  <c:v>0.16605521611174504</c:v>
                </c:pt>
                <c:pt idx="3">
                  <c:v>0.10272500530672897</c:v>
                </c:pt>
                <c:pt idx="4">
                  <c:v>-0.31907265486832137</c:v>
                </c:pt>
                <c:pt idx="5">
                  <c:v>0.2203205060249481</c:v>
                </c:pt>
                <c:pt idx="6">
                  <c:v>-8.4643038641796592E-2</c:v>
                </c:pt>
                <c:pt idx="7">
                  <c:v>0.35818479775686313</c:v>
                </c:pt>
                <c:pt idx="8">
                  <c:v>5.2426474913341334E-2</c:v>
                </c:pt>
                <c:pt idx="9">
                  <c:v>-5.838897666976664E-2</c:v>
                </c:pt>
                <c:pt idx="10">
                  <c:v>3.4999999999999996E-2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2F-4437-924A-D0E15D324C65}"/>
            </c:ext>
          </c:extLst>
        </c:ser>
        <c:ser>
          <c:idx val="6"/>
          <c:order val="6"/>
          <c:tx>
            <c:strRef>
              <c:f>'Leasing (Maq+Veh+Inmob)'!$H$36</c:f>
              <c:strCache>
                <c:ptCount val="1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(Maq+Veh+Inmob)'!$H$37:$H$47</c:f>
              <c:numCache>
                <c:formatCode>0%</c:formatCode>
                <c:ptCount val="11"/>
                <c:pt idx="0">
                  <c:v>0.26576740794750281</c:v>
                </c:pt>
                <c:pt idx="1">
                  <c:v>0.25909987082994768</c:v>
                </c:pt>
                <c:pt idx="2">
                  <c:v>0.12638000614376421</c:v>
                </c:pt>
                <c:pt idx="3">
                  <c:v>0.19811600768593876</c:v>
                </c:pt>
                <c:pt idx="4">
                  <c:v>2.2517765173740236E-2</c:v>
                </c:pt>
                <c:pt idx="5">
                  <c:v>0.1658271913493661</c:v>
                </c:pt>
                <c:pt idx="6">
                  <c:v>-0.42931535167593643</c:v>
                </c:pt>
                <c:pt idx="7">
                  <c:v>0.44428536655952872</c:v>
                </c:pt>
                <c:pt idx="8">
                  <c:v>3.3882898113768392E-2</c:v>
                </c:pt>
                <c:pt idx="9">
                  <c:v>0.15618371897350755</c:v>
                </c:pt>
                <c:pt idx="10">
                  <c:v>9.6714256526206729E-2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2F-4437-924A-D0E15D324C65}"/>
            </c:ext>
          </c:extLst>
        </c:ser>
        <c:ser>
          <c:idx val="7"/>
          <c:order val="7"/>
          <c:tx>
            <c:strRef>
              <c:f>'Leasing (Maq+Veh+Inmob)'!$I$36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(Maq+Veh+Inmob)'!$I$37:$I$47</c:f>
              <c:numCache>
                <c:formatCode>0%</c:formatCode>
                <c:ptCount val="11"/>
                <c:pt idx="0">
                  <c:v>0.21367413059709206</c:v>
                </c:pt>
                <c:pt idx="1">
                  <c:v>-2.6420256711507936E-2</c:v>
                </c:pt>
                <c:pt idx="2">
                  <c:v>0.14527637251239514</c:v>
                </c:pt>
                <c:pt idx="3">
                  <c:v>-4.1910257383645519E-3</c:v>
                </c:pt>
                <c:pt idx="4">
                  <c:v>-2.6644708417837233E-2</c:v>
                </c:pt>
                <c:pt idx="5">
                  <c:v>0.1284579231833731</c:v>
                </c:pt>
                <c:pt idx="6">
                  <c:v>-0.31137946648692988</c:v>
                </c:pt>
                <c:pt idx="7">
                  <c:v>0.28020157680966135</c:v>
                </c:pt>
                <c:pt idx="8">
                  <c:v>-0.18911438000616249</c:v>
                </c:pt>
                <c:pt idx="9">
                  <c:v>-0.10887197459952694</c:v>
                </c:pt>
                <c:pt idx="10">
                  <c:v>5.6024402914807647E-2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2F-4437-924A-D0E15D324C65}"/>
            </c:ext>
          </c:extLst>
        </c:ser>
        <c:ser>
          <c:idx val="8"/>
          <c:order val="8"/>
          <c:tx>
            <c:strRef>
              <c:f>'Leasing (Maq+Veh+Inmob)'!$J$36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(Maq+Veh+Inmob)'!$A$37:$A$47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(Maq+Veh+Inmob)'!$J$37:$J$47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2F-4437-924A-D0E15D32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999056"/>
        <c:axId val="651004336"/>
      </c:lineChart>
      <c:catAx>
        <c:axId val="65099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004336"/>
        <c:crosses val="autoZero"/>
        <c:auto val="1"/>
        <c:lblAlgn val="ctr"/>
        <c:lblOffset val="100"/>
        <c:noMultiLvlLbl val="0"/>
      </c:catAx>
      <c:valAx>
        <c:axId val="6510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por países (2024 S1)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8A-4199-9239-84EB891B6B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8A-4199-9239-84EB891B6B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8A-4199-9239-84EB891B6B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58A-4199-9239-84EB891B6B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8A-4199-9239-84EB891B6B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58A-4199-9239-84EB891B6B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8A-4199-9239-84EB891B6BF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58A-4199-9239-84EB891B6B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'Leasing (Maq+Veh+Inmob)'!$B$19:$I$19</c:f>
              <c:strCache>
                <c:ptCount val="8"/>
                <c:pt idx="0">
                  <c:v>UK</c:v>
                </c:pt>
                <c:pt idx="1">
                  <c:v>FR</c:v>
                </c:pt>
                <c:pt idx="2">
                  <c:v>DE</c:v>
                </c:pt>
                <c:pt idx="3">
                  <c:v>IT</c:v>
                </c:pt>
                <c:pt idx="4">
                  <c:v>PL</c:v>
                </c:pt>
                <c:pt idx="5">
                  <c:v>SE</c:v>
                </c:pt>
                <c:pt idx="6">
                  <c:v>ES</c:v>
                </c:pt>
                <c:pt idx="7">
                  <c:v>OTHERS</c:v>
                </c:pt>
              </c:strCache>
            </c:strRef>
          </c:cat>
          <c:val>
            <c:numRef>
              <c:f>'Leasing (Maq+Veh+Inmob)'!$B$32:$I$32</c:f>
              <c:numCache>
                <c:formatCode>0%</c:formatCode>
                <c:ptCount val="8"/>
                <c:pt idx="0">
                  <c:v>0.23920680241571363</c:v>
                </c:pt>
                <c:pt idx="1">
                  <c:v>0.18708731123974967</c:v>
                </c:pt>
                <c:pt idx="2">
                  <c:v>0.16921478867725587</c:v>
                </c:pt>
                <c:pt idx="3">
                  <c:v>8.9576623742685782E-2</c:v>
                </c:pt>
                <c:pt idx="4">
                  <c:v>6.5617839115978266E-2</c:v>
                </c:pt>
                <c:pt idx="5">
                  <c:v>4.5970591766320942E-2</c:v>
                </c:pt>
                <c:pt idx="6">
                  <c:v>5.1566194624671803E-2</c:v>
                </c:pt>
                <c:pt idx="7">
                  <c:v>0.15175984841762405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A-4199-9239-84EB891B6B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por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'Leasing (Maq+Veh+Inmob)'!$B$19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(Maq+Veh+Inmob)'!$B$20:$B$31</c:f>
              <c:numCache>
                <c:formatCode>_-* #,##0_-;\-* #,##0_-;_-* "-"??_-;_-@_-</c:formatCode>
                <c:ptCount val="12"/>
                <c:pt idx="0">
                  <c:v>22971.599999999999</c:v>
                </c:pt>
                <c:pt idx="1">
                  <c:v>28098</c:v>
                </c:pt>
                <c:pt idx="2">
                  <c:v>34748.595196080314</c:v>
                </c:pt>
                <c:pt idx="3">
                  <c:v>38397.5</c:v>
                </c:pt>
                <c:pt idx="4">
                  <c:v>39060.699999999997</c:v>
                </c:pt>
                <c:pt idx="5">
                  <c:v>38497</c:v>
                </c:pt>
                <c:pt idx="6">
                  <c:v>40621.78</c:v>
                </c:pt>
                <c:pt idx="7">
                  <c:v>28616.83</c:v>
                </c:pt>
                <c:pt idx="8">
                  <c:v>38218.46</c:v>
                </c:pt>
                <c:pt idx="9">
                  <c:v>43332.54</c:v>
                </c:pt>
                <c:pt idx="10">
                  <c:v>44022.094140249763</c:v>
                </c:pt>
                <c:pt idx="11">
                  <c:v>45827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9-4EBA-9610-2E71AE063A3A}"/>
            </c:ext>
          </c:extLst>
        </c:ser>
        <c:ser>
          <c:idx val="1"/>
          <c:order val="1"/>
          <c:tx>
            <c:strRef>
              <c:f>'Leasing (Maq+Veh+Inmob)'!$C$19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(Maq+Veh+Inmob)'!$C$20:$C$31</c:f>
              <c:numCache>
                <c:formatCode>_-* #,##0_-;\-* #,##0_-;_-* "-"??_-;_-@_-</c:formatCode>
                <c:ptCount val="12"/>
                <c:pt idx="0">
                  <c:v>17975</c:v>
                </c:pt>
                <c:pt idx="1">
                  <c:v>18589.400000000001</c:v>
                </c:pt>
                <c:pt idx="2">
                  <c:v>20961.02560419192</c:v>
                </c:pt>
                <c:pt idx="3">
                  <c:v>22967.200000000001</c:v>
                </c:pt>
                <c:pt idx="4">
                  <c:v>24489.599999999999</c:v>
                </c:pt>
                <c:pt idx="5">
                  <c:v>27059</c:v>
                </c:pt>
                <c:pt idx="6">
                  <c:v>29476.3</c:v>
                </c:pt>
                <c:pt idx="7">
                  <c:v>23629</c:v>
                </c:pt>
                <c:pt idx="8">
                  <c:v>28819</c:v>
                </c:pt>
                <c:pt idx="9">
                  <c:v>29619</c:v>
                </c:pt>
                <c:pt idx="10">
                  <c:v>33915.377836349384</c:v>
                </c:pt>
                <c:pt idx="11">
                  <c:v>35842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9-4EBA-9610-2E71AE063A3A}"/>
            </c:ext>
          </c:extLst>
        </c:ser>
        <c:ser>
          <c:idx val="2"/>
          <c:order val="2"/>
          <c:tx>
            <c:strRef>
              <c:f>'Leasing (Maq+Veh+Inmob)'!$D$19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(Maq+Veh+Inmob)'!$D$20:$D$31</c:f>
              <c:numCache>
                <c:formatCode>_-* #,##0_-;\-* #,##0_-;_-* "-"??_-;_-@_-</c:formatCode>
                <c:ptCount val="12"/>
                <c:pt idx="0">
                  <c:v>20592</c:v>
                </c:pt>
                <c:pt idx="1">
                  <c:v>23720</c:v>
                </c:pt>
                <c:pt idx="2">
                  <c:v>23082.906884276421</c:v>
                </c:pt>
                <c:pt idx="3">
                  <c:v>25633</c:v>
                </c:pt>
                <c:pt idx="4">
                  <c:v>25510</c:v>
                </c:pt>
                <c:pt idx="5">
                  <c:v>23972</c:v>
                </c:pt>
                <c:pt idx="6">
                  <c:v>26818</c:v>
                </c:pt>
                <c:pt idx="7">
                  <c:v>12024</c:v>
                </c:pt>
                <c:pt idx="8">
                  <c:v>13256</c:v>
                </c:pt>
                <c:pt idx="9">
                  <c:v>22210</c:v>
                </c:pt>
                <c:pt idx="10">
                  <c:v>30072.356215213356</c:v>
                </c:pt>
                <c:pt idx="11">
                  <c:v>32418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9-4EBA-9610-2E71AE063A3A}"/>
            </c:ext>
          </c:extLst>
        </c:ser>
        <c:ser>
          <c:idx val="3"/>
          <c:order val="3"/>
          <c:tx>
            <c:strRef>
              <c:f>'Leasing (Maq+Veh+Inmob)'!$E$19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(Maq+Veh+Inmob)'!$E$20:$E$31</c:f>
              <c:numCache>
                <c:formatCode>_-* #,##0_-;\-* #,##0_-;_-* "-"??_-;_-@_-</c:formatCode>
                <c:ptCount val="12"/>
                <c:pt idx="0">
                  <c:v>7268</c:v>
                </c:pt>
                <c:pt idx="1">
                  <c:v>7679</c:v>
                </c:pt>
                <c:pt idx="2">
                  <c:v>7938.9482800458509</c:v>
                </c:pt>
                <c:pt idx="3">
                  <c:v>8977.9</c:v>
                </c:pt>
                <c:pt idx="4">
                  <c:v>9606</c:v>
                </c:pt>
                <c:pt idx="5">
                  <c:v>15651.4</c:v>
                </c:pt>
                <c:pt idx="6">
                  <c:v>14293.29</c:v>
                </c:pt>
                <c:pt idx="7">
                  <c:v>9630</c:v>
                </c:pt>
                <c:pt idx="8">
                  <c:v>14528</c:v>
                </c:pt>
                <c:pt idx="9">
                  <c:v>15500</c:v>
                </c:pt>
                <c:pt idx="10">
                  <c:v>18007.34522560336</c:v>
                </c:pt>
                <c:pt idx="11">
                  <c:v>17161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9-4EBA-9610-2E71AE063A3A}"/>
            </c:ext>
          </c:extLst>
        </c:ser>
        <c:ser>
          <c:idx val="4"/>
          <c:order val="4"/>
          <c:tx>
            <c:strRef>
              <c:f>'Leasing (Maq+Veh+Inmob)'!$F$19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(Maq+Veh+Inmob)'!$F$20:$F$31</c:f>
              <c:numCache>
                <c:formatCode>_-* #,##0_-;\-* #,##0_-;_-* "-"??_-;_-@_-</c:formatCode>
                <c:ptCount val="12"/>
                <c:pt idx="0">
                  <c:v>3819.3</c:v>
                </c:pt>
                <c:pt idx="1">
                  <c:v>5041.3999999999996</c:v>
                </c:pt>
                <c:pt idx="2">
                  <c:v>5459.7647343193412</c:v>
                </c:pt>
                <c:pt idx="3">
                  <c:v>6427.2000000000007</c:v>
                </c:pt>
                <c:pt idx="4">
                  <c:v>7323.9000000000005</c:v>
                </c:pt>
                <c:pt idx="5">
                  <c:v>9130.9</c:v>
                </c:pt>
                <c:pt idx="6">
                  <c:v>9014.19</c:v>
                </c:pt>
                <c:pt idx="7">
                  <c:v>6743.4</c:v>
                </c:pt>
                <c:pt idx="8">
                  <c:v>8936.369999999999</c:v>
                </c:pt>
                <c:pt idx="9">
                  <c:v>8982.43</c:v>
                </c:pt>
                <c:pt idx="10">
                  <c:v>10304.098360655738</c:v>
                </c:pt>
                <c:pt idx="11">
                  <c:v>12571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9-4EBA-9610-2E71AE063A3A}"/>
            </c:ext>
          </c:extLst>
        </c:ser>
        <c:ser>
          <c:idx val="5"/>
          <c:order val="5"/>
          <c:tx>
            <c:strRef>
              <c:f>'Leasing (Maq+Veh+Inmob)'!$G$19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(Maq+Veh+Inmob)'!$G$20:$G$31</c:f>
              <c:numCache>
                <c:formatCode>_-* #,##0_-;\-* #,##0_-;_-* "-"??_-;_-@_-</c:formatCode>
                <c:ptCount val="12"/>
                <c:pt idx="0">
                  <c:v>5905.8</c:v>
                </c:pt>
                <c:pt idx="1">
                  <c:v>5998.7</c:v>
                </c:pt>
                <c:pt idx="2">
                  <c:v>6464.1878839446472</c:v>
                </c:pt>
                <c:pt idx="3">
                  <c:v>7537.5999999999995</c:v>
                </c:pt>
                <c:pt idx="4">
                  <c:v>8311.9</c:v>
                </c:pt>
                <c:pt idx="5">
                  <c:v>5659.7999999999993</c:v>
                </c:pt>
                <c:pt idx="6">
                  <c:v>6906.77</c:v>
                </c:pt>
                <c:pt idx="7">
                  <c:v>6322.1599999999989</c:v>
                </c:pt>
                <c:pt idx="8">
                  <c:v>8586.6616009865284</c:v>
                </c:pt>
                <c:pt idx="9">
                  <c:v>9036.83</c:v>
                </c:pt>
                <c:pt idx="10">
                  <c:v>8509.1787439613527</c:v>
                </c:pt>
                <c:pt idx="11">
                  <c:v>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79-4EBA-9610-2E71AE063A3A}"/>
            </c:ext>
          </c:extLst>
        </c:ser>
        <c:ser>
          <c:idx val="6"/>
          <c:order val="6"/>
          <c:tx>
            <c:strRef>
              <c:f>'Leasing (Maq+Veh+Inmob)'!$H$19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(Maq+Veh+Inmob)'!$H$20:$H$31</c:f>
              <c:numCache>
                <c:formatCode>_-* #,##0_-;\-* #,##0_-;_-* "-"??_-;_-@_-</c:formatCode>
                <c:ptCount val="12"/>
                <c:pt idx="0">
                  <c:v>3565.9</c:v>
                </c:pt>
                <c:pt idx="1">
                  <c:v>4513.6000000000004</c:v>
                </c:pt>
                <c:pt idx="2">
                  <c:v>5683.0731769780523</c:v>
                </c:pt>
                <c:pt idx="3">
                  <c:v>6401.3</c:v>
                </c:pt>
                <c:pt idx="4">
                  <c:v>7669.5</c:v>
                </c:pt>
                <c:pt idx="5">
                  <c:v>7842.2000000000007</c:v>
                </c:pt>
                <c:pt idx="6">
                  <c:v>9142.65</c:v>
                </c:pt>
                <c:pt idx="7">
                  <c:v>5217.57</c:v>
                </c:pt>
                <c:pt idx="8">
                  <c:v>7535.66</c:v>
                </c:pt>
                <c:pt idx="9">
                  <c:v>7790.99</c:v>
                </c:pt>
                <c:pt idx="10">
                  <c:v>9007.8157926854074</c:v>
                </c:pt>
                <c:pt idx="11">
                  <c:v>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79-4EBA-9610-2E71AE063A3A}"/>
            </c:ext>
          </c:extLst>
        </c:ser>
        <c:ser>
          <c:idx val="7"/>
          <c:order val="7"/>
          <c:tx>
            <c:strRef>
              <c:f>'Leasing (Maq+Veh+Inmob)'!$I$19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(Maq+Veh+Inmob)'!$I$20:$I$31</c:f>
              <c:numCache>
                <c:formatCode>_-* #,##0_-;\-* #,##0_-;_-* "-"??_-;_-@_-</c:formatCode>
                <c:ptCount val="12"/>
                <c:pt idx="0">
                  <c:v>29198.199999999993</c:v>
                </c:pt>
                <c:pt idx="1">
                  <c:v>35437.100000000006</c:v>
                </c:pt>
                <c:pt idx="2">
                  <c:v>34500.842720888628</c:v>
                </c:pt>
                <c:pt idx="3">
                  <c:v>39513</c:v>
                </c:pt>
                <c:pt idx="4">
                  <c:v>39347.4</c:v>
                </c:pt>
                <c:pt idx="5">
                  <c:v>38298.999999999993</c:v>
                </c:pt>
                <c:pt idx="6">
                  <c:v>43218.81</c:v>
                </c:pt>
                <c:pt idx="7">
                  <c:v>29761.360000000008</c:v>
                </c:pt>
                <c:pt idx="8">
                  <c:v>38100.539999999994</c:v>
                </c:pt>
                <c:pt idx="9">
                  <c:v>30895.18</c:v>
                </c:pt>
                <c:pt idx="10">
                  <c:v>27531.560747792188</c:v>
                </c:pt>
                <c:pt idx="11">
                  <c:v>29074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79-4EBA-9610-2E71AE063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3911056"/>
        <c:axId val="863904816"/>
      </c:barChart>
      <c:catAx>
        <c:axId val="8639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04816"/>
        <c:crosses val="autoZero"/>
        <c:auto val="1"/>
        <c:lblAlgn val="ctr"/>
        <c:lblOffset val="100"/>
        <c:noMultiLvlLbl val="0"/>
      </c:catAx>
      <c:valAx>
        <c:axId val="8639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por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'Leasing (Maq+Veh+Inmob)'!$B$19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(Maq+Veh+Inmob)'!$B$20:$B$31</c:f>
              <c:numCache>
                <c:formatCode>_-* #,##0_-;\-* #,##0_-;_-* "-"??_-;_-@_-</c:formatCode>
                <c:ptCount val="12"/>
                <c:pt idx="0">
                  <c:v>22971.599999999999</c:v>
                </c:pt>
                <c:pt idx="1">
                  <c:v>28098</c:v>
                </c:pt>
                <c:pt idx="2">
                  <c:v>34748.595196080314</c:v>
                </c:pt>
                <c:pt idx="3">
                  <c:v>38397.5</c:v>
                </c:pt>
                <c:pt idx="4">
                  <c:v>39060.699999999997</c:v>
                </c:pt>
                <c:pt idx="5">
                  <c:v>38497</c:v>
                </c:pt>
                <c:pt idx="6">
                  <c:v>40621.78</c:v>
                </c:pt>
                <c:pt idx="7">
                  <c:v>28616.83</c:v>
                </c:pt>
                <c:pt idx="8">
                  <c:v>38218.46</c:v>
                </c:pt>
                <c:pt idx="9">
                  <c:v>43332.54</c:v>
                </c:pt>
                <c:pt idx="10">
                  <c:v>44022.094140249763</c:v>
                </c:pt>
                <c:pt idx="11">
                  <c:v>45827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5-4C5E-B865-3C01388E8696}"/>
            </c:ext>
          </c:extLst>
        </c:ser>
        <c:ser>
          <c:idx val="1"/>
          <c:order val="1"/>
          <c:tx>
            <c:strRef>
              <c:f>'Leasing (Maq+Veh+Inmob)'!$C$19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(Maq+Veh+Inmob)'!$C$20:$C$31</c:f>
              <c:numCache>
                <c:formatCode>_-* #,##0_-;\-* #,##0_-;_-* "-"??_-;_-@_-</c:formatCode>
                <c:ptCount val="12"/>
                <c:pt idx="0">
                  <c:v>17975</c:v>
                </c:pt>
                <c:pt idx="1">
                  <c:v>18589.400000000001</c:v>
                </c:pt>
                <c:pt idx="2">
                  <c:v>20961.02560419192</c:v>
                </c:pt>
                <c:pt idx="3">
                  <c:v>22967.200000000001</c:v>
                </c:pt>
                <c:pt idx="4">
                  <c:v>24489.599999999999</c:v>
                </c:pt>
                <c:pt idx="5">
                  <c:v>27059</c:v>
                </c:pt>
                <c:pt idx="6">
                  <c:v>29476.3</c:v>
                </c:pt>
                <c:pt idx="7">
                  <c:v>23629</c:v>
                </c:pt>
                <c:pt idx="8">
                  <c:v>28819</c:v>
                </c:pt>
                <c:pt idx="9">
                  <c:v>29619</c:v>
                </c:pt>
                <c:pt idx="10">
                  <c:v>33915.377836349384</c:v>
                </c:pt>
                <c:pt idx="11">
                  <c:v>35842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5-4C5E-B865-3C01388E8696}"/>
            </c:ext>
          </c:extLst>
        </c:ser>
        <c:ser>
          <c:idx val="2"/>
          <c:order val="2"/>
          <c:tx>
            <c:strRef>
              <c:f>'Leasing (Maq+Veh+Inmob)'!$D$19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(Maq+Veh+Inmob)'!$D$20:$D$31</c:f>
              <c:numCache>
                <c:formatCode>_-* #,##0_-;\-* #,##0_-;_-* "-"??_-;_-@_-</c:formatCode>
                <c:ptCount val="12"/>
                <c:pt idx="0">
                  <c:v>20592</c:v>
                </c:pt>
                <c:pt idx="1">
                  <c:v>23720</c:v>
                </c:pt>
                <c:pt idx="2">
                  <c:v>23082.906884276421</c:v>
                </c:pt>
                <c:pt idx="3">
                  <c:v>25633</c:v>
                </c:pt>
                <c:pt idx="4">
                  <c:v>25510</c:v>
                </c:pt>
                <c:pt idx="5">
                  <c:v>23972</c:v>
                </c:pt>
                <c:pt idx="6">
                  <c:v>26818</c:v>
                </c:pt>
                <c:pt idx="7">
                  <c:v>12024</c:v>
                </c:pt>
                <c:pt idx="8">
                  <c:v>13256</c:v>
                </c:pt>
                <c:pt idx="9">
                  <c:v>22210</c:v>
                </c:pt>
                <c:pt idx="10">
                  <c:v>30072.356215213356</c:v>
                </c:pt>
                <c:pt idx="11">
                  <c:v>32418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5-4C5E-B865-3C01388E8696}"/>
            </c:ext>
          </c:extLst>
        </c:ser>
        <c:ser>
          <c:idx val="3"/>
          <c:order val="3"/>
          <c:tx>
            <c:strRef>
              <c:f>'Leasing (Maq+Veh+Inmob)'!$E$19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(Maq+Veh+Inmob)'!$E$20:$E$31</c:f>
              <c:numCache>
                <c:formatCode>_-* #,##0_-;\-* #,##0_-;_-* "-"??_-;_-@_-</c:formatCode>
                <c:ptCount val="12"/>
                <c:pt idx="0">
                  <c:v>7268</c:v>
                </c:pt>
                <c:pt idx="1">
                  <c:v>7679</c:v>
                </c:pt>
                <c:pt idx="2">
                  <c:v>7938.9482800458509</c:v>
                </c:pt>
                <c:pt idx="3">
                  <c:v>8977.9</c:v>
                </c:pt>
                <c:pt idx="4">
                  <c:v>9606</c:v>
                </c:pt>
                <c:pt idx="5">
                  <c:v>15651.4</c:v>
                </c:pt>
                <c:pt idx="6">
                  <c:v>14293.29</c:v>
                </c:pt>
                <c:pt idx="7">
                  <c:v>9630</c:v>
                </c:pt>
                <c:pt idx="8">
                  <c:v>14528</c:v>
                </c:pt>
                <c:pt idx="9">
                  <c:v>15500</c:v>
                </c:pt>
                <c:pt idx="10">
                  <c:v>18007.34522560336</c:v>
                </c:pt>
                <c:pt idx="11">
                  <c:v>17161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5-4C5E-B865-3C01388E8696}"/>
            </c:ext>
          </c:extLst>
        </c:ser>
        <c:ser>
          <c:idx val="4"/>
          <c:order val="4"/>
          <c:tx>
            <c:strRef>
              <c:f>'Leasing (Maq+Veh+Inmob)'!$F$19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(Maq+Veh+Inmob)'!$F$20:$F$31</c:f>
              <c:numCache>
                <c:formatCode>_-* #,##0_-;\-* #,##0_-;_-* "-"??_-;_-@_-</c:formatCode>
                <c:ptCount val="12"/>
                <c:pt idx="0">
                  <c:v>3819.3</c:v>
                </c:pt>
                <c:pt idx="1">
                  <c:v>5041.3999999999996</c:v>
                </c:pt>
                <c:pt idx="2">
                  <c:v>5459.7647343193412</c:v>
                </c:pt>
                <c:pt idx="3">
                  <c:v>6427.2000000000007</c:v>
                </c:pt>
                <c:pt idx="4">
                  <c:v>7323.9000000000005</c:v>
                </c:pt>
                <c:pt idx="5">
                  <c:v>9130.9</c:v>
                </c:pt>
                <c:pt idx="6">
                  <c:v>9014.19</c:v>
                </c:pt>
                <c:pt idx="7">
                  <c:v>6743.4</c:v>
                </c:pt>
                <c:pt idx="8">
                  <c:v>8936.369999999999</c:v>
                </c:pt>
                <c:pt idx="9">
                  <c:v>8982.43</c:v>
                </c:pt>
                <c:pt idx="10">
                  <c:v>10304.098360655738</c:v>
                </c:pt>
                <c:pt idx="11">
                  <c:v>12571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25-4C5E-B865-3C01388E8696}"/>
            </c:ext>
          </c:extLst>
        </c:ser>
        <c:ser>
          <c:idx val="5"/>
          <c:order val="5"/>
          <c:tx>
            <c:strRef>
              <c:f>'Leasing (Maq+Veh+Inmob)'!$G$19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(Maq+Veh+Inmob)'!$G$20:$G$31</c:f>
              <c:numCache>
                <c:formatCode>_-* #,##0_-;\-* #,##0_-;_-* "-"??_-;_-@_-</c:formatCode>
                <c:ptCount val="12"/>
                <c:pt idx="0">
                  <c:v>5905.8</c:v>
                </c:pt>
                <c:pt idx="1">
                  <c:v>5998.7</c:v>
                </c:pt>
                <c:pt idx="2">
                  <c:v>6464.1878839446472</c:v>
                </c:pt>
                <c:pt idx="3">
                  <c:v>7537.5999999999995</c:v>
                </c:pt>
                <c:pt idx="4">
                  <c:v>8311.9</c:v>
                </c:pt>
                <c:pt idx="5">
                  <c:v>5659.7999999999993</c:v>
                </c:pt>
                <c:pt idx="6">
                  <c:v>6906.77</c:v>
                </c:pt>
                <c:pt idx="7">
                  <c:v>6322.1599999999989</c:v>
                </c:pt>
                <c:pt idx="8">
                  <c:v>8586.6616009865284</c:v>
                </c:pt>
                <c:pt idx="9">
                  <c:v>9036.83</c:v>
                </c:pt>
                <c:pt idx="10">
                  <c:v>8509.1787439613527</c:v>
                </c:pt>
                <c:pt idx="11">
                  <c:v>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25-4C5E-B865-3C01388E8696}"/>
            </c:ext>
          </c:extLst>
        </c:ser>
        <c:ser>
          <c:idx val="6"/>
          <c:order val="6"/>
          <c:tx>
            <c:strRef>
              <c:f>'Leasing (Maq+Veh+Inmob)'!$H$19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(Maq+Veh+Inmob)'!$H$20:$H$31</c:f>
              <c:numCache>
                <c:formatCode>_-* #,##0_-;\-* #,##0_-;_-* "-"??_-;_-@_-</c:formatCode>
                <c:ptCount val="12"/>
                <c:pt idx="0">
                  <c:v>3565.9</c:v>
                </c:pt>
                <c:pt idx="1">
                  <c:v>4513.6000000000004</c:v>
                </c:pt>
                <c:pt idx="2">
                  <c:v>5683.0731769780523</c:v>
                </c:pt>
                <c:pt idx="3">
                  <c:v>6401.3</c:v>
                </c:pt>
                <c:pt idx="4">
                  <c:v>7669.5</c:v>
                </c:pt>
                <c:pt idx="5">
                  <c:v>7842.2000000000007</c:v>
                </c:pt>
                <c:pt idx="6">
                  <c:v>9142.65</c:v>
                </c:pt>
                <c:pt idx="7">
                  <c:v>5217.57</c:v>
                </c:pt>
                <c:pt idx="8">
                  <c:v>7535.66</c:v>
                </c:pt>
                <c:pt idx="9">
                  <c:v>7790.99</c:v>
                </c:pt>
                <c:pt idx="10">
                  <c:v>9007.8157926854074</c:v>
                </c:pt>
                <c:pt idx="11">
                  <c:v>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25-4C5E-B865-3C01388E8696}"/>
            </c:ext>
          </c:extLst>
        </c:ser>
        <c:ser>
          <c:idx val="7"/>
          <c:order val="7"/>
          <c:tx>
            <c:strRef>
              <c:f>'Leasing (Maq+Veh+Inmob)'!$I$19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(Maq+Veh+Inmob)'!$I$20:$I$31</c:f>
              <c:numCache>
                <c:formatCode>_-* #,##0_-;\-* #,##0_-;_-* "-"??_-;_-@_-</c:formatCode>
                <c:ptCount val="12"/>
                <c:pt idx="0">
                  <c:v>29198.199999999993</c:v>
                </c:pt>
                <c:pt idx="1">
                  <c:v>35437.100000000006</c:v>
                </c:pt>
                <c:pt idx="2">
                  <c:v>34500.842720888628</c:v>
                </c:pt>
                <c:pt idx="3">
                  <c:v>39513</c:v>
                </c:pt>
                <c:pt idx="4">
                  <c:v>39347.4</c:v>
                </c:pt>
                <c:pt idx="5">
                  <c:v>38298.999999999993</c:v>
                </c:pt>
                <c:pt idx="6">
                  <c:v>43218.81</c:v>
                </c:pt>
                <c:pt idx="7">
                  <c:v>29761.360000000008</c:v>
                </c:pt>
                <c:pt idx="8">
                  <c:v>38100.539999999994</c:v>
                </c:pt>
                <c:pt idx="9">
                  <c:v>30895.18</c:v>
                </c:pt>
                <c:pt idx="10">
                  <c:v>27531.560747792188</c:v>
                </c:pt>
                <c:pt idx="11">
                  <c:v>29074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25-4C5E-B865-3C01388E8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3911056"/>
        <c:axId val="863904816"/>
      </c:barChart>
      <c:catAx>
        <c:axId val="8639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04816"/>
        <c:crosses val="autoZero"/>
        <c:auto val="1"/>
        <c:lblAlgn val="ctr"/>
        <c:lblOffset val="100"/>
        <c:noMultiLvlLbl val="0"/>
      </c:catAx>
      <c:valAx>
        <c:axId val="8639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por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'Leasing (Maq+Veh+Inmob)'!$B$19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(Maq+Veh+Inmob)'!$B$20:$B$31</c:f>
              <c:numCache>
                <c:formatCode>_-* #,##0_-;\-* #,##0_-;_-* "-"??_-;_-@_-</c:formatCode>
                <c:ptCount val="12"/>
                <c:pt idx="0">
                  <c:v>22971.599999999999</c:v>
                </c:pt>
                <c:pt idx="1">
                  <c:v>28098</c:v>
                </c:pt>
                <c:pt idx="2">
                  <c:v>34748.595196080314</c:v>
                </c:pt>
                <c:pt idx="3">
                  <c:v>38397.5</c:v>
                </c:pt>
                <c:pt idx="4">
                  <c:v>39060.699999999997</c:v>
                </c:pt>
                <c:pt idx="5">
                  <c:v>38497</c:v>
                </c:pt>
                <c:pt idx="6">
                  <c:v>40621.78</c:v>
                </c:pt>
                <c:pt idx="7">
                  <c:v>28616.83</c:v>
                </c:pt>
                <c:pt idx="8">
                  <c:v>38218.46</c:v>
                </c:pt>
                <c:pt idx="9">
                  <c:v>43332.54</c:v>
                </c:pt>
                <c:pt idx="10">
                  <c:v>44022.094140249763</c:v>
                </c:pt>
                <c:pt idx="11">
                  <c:v>45827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B-452E-B3D6-A8DC3BEFE83D}"/>
            </c:ext>
          </c:extLst>
        </c:ser>
        <c:ser>
          <c:idx val="1"/>
          <c:order val="1"/>
          <c:tx>
            <c:strRef>
              <c:f>'Leasing (Maq+Veh+Inmob)'!$C$19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(Maq+Veh+Inmob)'!$C$20:$C$31</c:f>
              <c:numCache>
                <c:formatCode>_-* #,##0_-;\-* #,##0_-;_-* "-"??_-;_-@_-</c:formatCode>
                <c:ptCount val="12"/>
                <c:pt idx="0">
                  <c:v>17975</c:v>
                </c:pt>
                <c:pt idx="1">
                  <c:v>18589.400000000001</c:v>
                </c:pt>
                <c:pt idx="2">
                  <c:v>20961.02560419192</c:v>
                </c:pt>
                <c:pt idx="3">
                  <c:v>22967.200000000001</c:v>
                </c:pt>
                <c:pt idx="4">
                  <c:v>24489.599999999999</c:v>
                </c:pt>
                <c:pt idx="5">
                  <c:v>27059</c:v>
                </c:pt>
                <c:pt idx="6">
                  <c:v>29476.3</c:v>
                </c:pt>
                <c:pt idx="7">
                  <c:v>23629</c:v>
                </c:pt>
                <c:pt idx="8">
                  <c:v>28819</c:v>
                </c:pt>
                <c:pt idx="9">
                  <c:v>29619</c:v>
                </c:pt>
                <c:pt idx="10">
                  <c:v>33915.377836349384</c:v>
                </c:pt>
                <c:pt idx="11">
                  <c:v>35842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B-452E-B3D6-A8DC3BEFE83D}"/>
            </c:ext>
          </c:extLst>
        </c:ser>
        <c:ser>
          <c:idx val="2"/>
          <c:order val="2"/>
          <c:tx>
            <c:strRef>
              <c:f>'Leasing (Maq+Veh+Inmob)'!$D$19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(Maq+Veh+Inmob)'!$D$20:$D$31</c:f>
              <c:numCache>
                <c:formatCode>_-* #,##0_-;\-* #,##0_-;_-* "-"??_-;_-@_-</c:formatCode>
                <c:ptCount val="12"/>
                <c:pt idx="0">
                  <c:v>20592</c:v>
                </c:pt>
                <c:pt idx="1">
                  <c:v>23720</c:v>
                </c:pt>
                <c:pt idx="2">
                  <c:v>23082.906884276421</c:v>
                </c:pt>
                <c:pt idx="3">
                  <c:v>25633</c:v>
                </c:pt>
                <c:pt idx="4">
                  <c:v>25510</c:v>
                </c:pt>
                <c:pt idx="5">
                  <c:v>23972</c:v>
                </c:pt>
                <c:pt idx="6">
                  <c:v>26818</c:v>
                </c:pt>
                <c:pt idx="7">
                  <c:v>12024</c:v>
                </c:pt>
                <c:pt idx="8">
                  <c:v>13256</c:v>
                </c:pt>
                <c:pt idx="9">
                  <c:v>22210</c:v>
                </c:pt>
                <c:pt idx="10">
                  <c:v>30072.356215213356</c:v>
                </c:pt>
                <c:pt idx="11">
                  <c:v>32418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B-452E-B3D6-A8DC3BEFE83D}"/>
            </c:ext>
          </c:extLst>
        </c:ser>
        <c:ser>
          <c:idx val="3"/>
          <c:order val="3"/>
          <c:tx>
            <c:strRef>
              <c:f>'Leasing (Maq+Veh+Inmob)'!$E$19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(Maq+Veh+Inmob)'!$E$20:$E$31</c:f>
              <c:numCache>
                <c:formatCode>_-* #,##0_-;\-* #,##0_-;_-* "-"??_-;_-@_-</c:formatCode>
                <c:ptCount val="12"/>
                <c:pt idx="0">
                  <c:v>7268</c:v>
                </c:pt>
                <c:pt idx="1">
                  <c:v>7679</c:v>
                </c:pt>
                <c:pt idx="2">
                  <c:v>7938.9482800458509</c:v>
                </c:pt>
                <c:pt idx="3">
                  <c:v>8977.9</c:v>
                </c:pt>
                <c:pt idx="4">
                  <c:v>9606</c:v>
                </c:pt>
                <c:pt idx="5">
                  <c:v>15651.4</c:v>
                </c:pt>
                <c:pt idx="6">
                  <c:v>14293.29</c:v>
                </c:pt>
                <c:pt idx="7">
                  <c:v>9630</c:v>
                </c:pt>
                <c:pt idx="8">
                  <c:v>14528</c:v>
                </c:pt>
                <c:pt idx="9">
                  <c:v>15500</c:v>
                </c:pt>
                <c:pt idx="10">
                  <c:v>18007.34522560336</c:v>
                </c:pt>
                <c:pt idx="11">
                  <c:v>17161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EB-452E-B3D6-A8DC3BEFE83D}"/>
            </c:ext>
          </c:extLst>
        </c:ser>
        <c:ser>
          <c:idx val="4"/>
          <c:order val="4"/>
          <c:tx>
            <c:strRef>
              <c:f>'Leasing (Maq+Veh+Inmob)'!$F$19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(Maq+Veh+Inmob)'!$F$20:$F$31</c:f>
              <c:numCache>
                <c:formatCode>_-* #,##0_-;\-* #,##0_-;_-* "-"??_-;_-@_-</c:formatCode>
                <c:ptCount val="12"/>
                <c:pt idx="0">
                  <c:v>3819.3</c:v>
                </c:pt>
                <c:pt idx="1">
                  <c:v>5041.3999999999996</c:v>
                </c:pt>
                <c:pt idx="2">
                  <c:v>5459.7647343193412</c:v>
                </c:pt>
                <c:pt idx="3">
                  <c:v>6427.2000000000007</c:v>
                </c:pt>
                <c:pt idx="4">
                  <c:v>7323.9000000000005</c:v>
                </c:pt>
                <c:pt idx="5">
                  <c:v>9130.9</c:v>
                </c:pt>
                <c:pt idx="6">
                  <c:v>9014.19</c:v>
                </c:pt>
                <c:pt idx="7">
                  <c:v>6743.4</c:v>
                </c:pt>
                <c:pt idx="8">
                  <c:v>8936.369999999999</c:v>
                </c:pt>
                <c:pt idx="9">
                  <c:v>8982.43</c:v>
                </c:pt>
                <c:pt idx="10">
                  <c:v>10304.098360655738</c:v>
                </c:pt>
                <c:pt idx="11">
                  <c:v>12571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EB-452E-B3D6-A8DC3BEFE83D}"/>
            </c:ext>
          </c:extLst>
        </c:ser>
        <c:ser>
          <c:idx val="5"/>
          <c:order val="5"/>
          <c:tx>
            <c:strRef>
              <c:f>'Leasing (Maq+Veh+Inmob)'!$G$19</c:f>
              <c:strCache>
                <c:ptCount val="1"/>
                <c:pt idx="0">
                  <c:v>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(Maq+Veh+Inmob)'!$G$20:$G$31</c:f>
              <c:numCache>
                <c:formatCode>_-* #,##0_-;\-* #,##0_-;_-* "-"??_-;_-@_-</c:formatCode>
                <c:ptCount val="12"/>
                <c:pt idx="0">
                  <c:v>5905.8</c:v>
                </c:pt>
                <c:pt idx="1">
                  <c:v>5998.7</c:v>
                </c:pt>
                <c:pt idx="2">
                  <c:v>6464.1878839446472</c:v>
                </c:pt>
                <c:pt idx="3">
                  <c:v>7537.5999999999995</c:v>
                </c:pt>
                <c:pt idx="4">
                  <c:v>8311.9</c:v>
                </c:pt>
                <c:pt idx="5">
                  <c:v>5659.7999999999993</c:v>
                </c:pt>
                <c:pt idx="6">
                  <c:v>6906.77</c:v>
                </c:pt>
                <c:pt idx="7">
                  <c:v>6322.1599999999989</c:v>
                </c:pt>
                <c:pt idx="8">
                  <c:v>8586.6616009865284</c:v>
                </c:pt>
                <c:pt idx="9">
                  <c:v>9036.83</c:v>
                </c:pt>
                <c:pt idx="10">
                  <c:v>8509.1787439613527</c:v>
                </c:pt>
                <c:pt idx="11">
                  <c:v>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EB-452E-B3D6-A8DC3BEFE83D}"/>
            </c:ext>
          </c:extLst>
        </c:ser>
        <c:ser>
          <c:idx val="6"/>
          <c:order val="6"/>
          <c:tx>
            <c:strRef>
              <c:f>'Leasing (Maq+Veh+Inmob)'!$H$19</c:f>
              <c:strCache>
                <c:ptCount val="1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(Maq+Veh+Inmob)'!$H$20:$H$31</c:f>
              <c:numCache>
                <c:formatCode>_-* #,##0_-;\-* #,##0_-;_-* "-"??_-;_-@_-</c:formatCode>
                <c:ptCount val="12"/>
                <c:pt idx="0">
                  <c:v>3565.9</c:v>
                </c:pt>
                <c:pt idx="1">
                  <c:v>4513.6000000000004</c:v>
                </c:pt>
                <c:pt idx="2">
                  <c:v>5683.0731769780523</c:v>
                </c:pt>
                <c:pt idx="3">
                  <c:v>6401.3</c:v>
                </c:pt>
                <c:pt idx="4">
                  <c:v>7669.5</c:v>
                </c:pt>
                <c:pt idx="5">
                  <c:v>7842.2000000000007</c:v>
                </c:pt>
                <c:pt idx="6">
                  <c:v>9142.65</c:v>
                </c:pt>
                <c:pt idx="7">
                  <c:v>5217.57</c:v>
                </c:pt>
                <c:pt idx="8">
                  <c:v>7535.66</c:v>
                </c:pt>
                <c:pt idx="9">
                  <c:v>7790.99</c:v>
                </c:pt>
                <c:pt idx="10">
                  <c:v>9007.8157926854074</c:v>
                </c:pt>
                <c:pt idx="11">
                  <c:v>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EB-452E-B3D6-A8DC3BEFE83D}"/>
            </c:ext>
          </c:extLst>
        </c:ser>
        <c:ser>
          <c:idx val="7"/>
          <c:order val="7"/>
          <c:tx>
            <c:strRef>
              <c:f>'Leasing (Maq+Veh+Inmob)'!$I$19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(Maq+Veh+Inmob)'!$I$20:$I$31</c:f>
              <c:numCache>
                <c:formatCode>_-* #,##0_-;\-* #,##0_-;_-* "-"??_-;_-@_-</c:formatCode>
                <c:ptCount val="12"/>
                <c:pt idx="0">
                  <c:v>29198.199999999993</c:v>
                </c:pt>
                <c:pt idx="1">
                  <c:v>35437.100000000006</c:v>
                </c:pt>
                <c:pt idx="2">
                  <c:v>34500.842720888628</c:v>
                </c:pt>
                <c:pt idx="3">
                  <c:v>39513</c:v>
                </c:pt>
                <c:pt idx="4">
                  <c:v>39347.4</c:v>
                </c:pt>
                <c:pt idx="5">
                  <c:v>38298.999999999993</c:v>
                </c:pt>
                <c:pt idx="6">
                  <c:v>43218.81</c:v>
                </c:pt>
                <c:pt idx="7">
                  <c:v>29761.360000000008</c:v>
                </c:pt>
                <c:pt idx="8">
                  <c:v>38100.539999999994</c:v>
                </c:pt>
                <c:pt idx="9">
                  <c:v>30895.18</c:v>
                </c:pt>
                <c:pt idx="10">
                  <c:v>27531.560747792188</c:v>
                </c:pt>
                <c:pt idx="11">
                  <c:v>29074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EB-452E-B3D6-A8DC3BEFE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911056"/>
        <c:axId val="863904816"/>
      </c:lineChart>
      <c:catAx>
        <c:axId val="8639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04816"/>
        <c:crosses val="autoZero"/>
        <c:auto val="1"/>
        <c:lblAlgn val="ctr"/>
        <c:lblOffset val="100"/>
        <c:noMultiLvlLbl val="0"/>
      </c:catAx>
      <c:valAx>
        <c:axId val="8639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por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'Leasing (Maq+Veh+Inmob)'!$B$19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(Maq+Veh+Inmob)'!$B$20:$B$31</c:f>
              <c:numCache>
                <c:formatCode>_-* #,##0_-;\-* #,##0_-;_-* "-"??_-;_-@_-</c:formatCode>
                <c:ptCount val="12"/>
                <c:pt idx="0">
                  <c:v>22971.599999999999</c:v>
                </c:pt>
                <c:pt idx="1">
                  <c:v>28098</c:v>
                </c:pt>
                <c:pt idx="2">
                  <c:v>34748.595196080314</c:v>
                </c:pt>
                <c:pt idx="3">
                  <c:v>38397.5</c:v>
                </c:pt>
                <c:pt idx="4">
                  <c:v>39060.699999999997</c:v>
                </c:pt>
                <c:pt idx="5">
                  <c:v>38497</c:v>
                </c:pt>
                <c:pt idx="6">
                  <c:v>40621.78</c:v>
                </c:pt>
                <c:pt idx="7">
                  <c:v>28616.83</c:v>
                </c:pt>
                <c:pt idx="8">
                  <c:v>38218.46</c:v>
                </c:pt>
                <c:pt idx="9">
                  <c:v>43332.54</c:v>
                </c:pt>
                <c:pt idx="10">
                  <c:v>44022.094140249763</c:v>
                </c:pt>
                <c:pt idx="11">
                  <c:v>45827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F-4D67-AB3E-363D47250736}"/>
            </c:ext>
          </c:extLst>
        </c:ser>
        <c:ser>
          <c:idx val="1"/>
          <c:order val="1"/>
          <c:tx>
            <c:strRef>
              <c:f>'Leasing (Maq+Veh+Inmob)'!$C$19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(Maq+Veh+Inmob)'!$C$20:$C$31</c:f>
              <c:numCache>
                <c:formatCode>_-* #,##0_-;\-* #,##0_-;_-* "-"??_-;_-@_-</c:formatCode>
                <c:ptCount val="12"/>
                <c:pt idx="0">
                  <c:v>17975</c:v>
                </c:pt>
                <c:pt idx="1">
                  <c:v>18589.400000000001</c:v>
                </c:pt>
                <c:pt idx="2">
                  <c:v>20961.02560419192</c:v>
                </c:pt>
                <c:pt idx="3">
                  <c:v>22967.200000000001</c:v>
                </c:pt>
                <c:pt idx="4">
                  <c:v>24489.599999999999</c:v>
                </c:pt>
                <c:pt idx="5">
                  <c:v>27059</c:v>
                </c:pt>
                <c:pt idx="6">
                  <c:v>29476.3</c:v>
                </c:pt>
                <c:pt idx="7">
                  <c:v>23629</c:v>
                </c:pt>
                <c:pt idx="8">
                  <c:v>28819</c:v>
                </c:pt>
                <c:pt idx="9">
                  <c:v>29619</c:v>
                </c:pt>
                <c:pt idx="10">
                  <c:v>33915.377836349384</c:v>
                </c:pt>
                <c:pt idx="11">
                  <c:v>35842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F-4D67-AB3E-363D47250736}"/>
            </c:ext>
          </c:extLst>
        </c:ser>
        <c:ser>
          <c:idx val="2"/>
          <c:order val="2"/>
          <c:tx>
            <c:strRef>
              <c:f>'Leasing (Maq+Veh+Inmob)'!$D$19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(Maq+Veh+Inmob)'!$D$20:$D$31</c:f>
              <c:numCache>
                <c:formatCode>_-* #,##0_-;\-* #,##0_-;_-* "-"??_-;_-@_-</c:formatCode>
                <c:ptCount val="12"/>
                <c:pt idx="0">
                  <c:v>20592</c:v>
                </c:pt>
                <c:pt idx="1">
                  <c:v>23720</c:v>
                </c:pt>
                <c:pt idx="2">
                  <c:v>23082.906884276421</c:v>
                </c:pt>
                <c:pt idx="3">
                  <c:v>25633</c:v>
                </c:pt>
                <c:pt idx="4">
                  <c:v>25510</c:v>
                </c:pt>
                <c:pt idx="5">
                  <c:v>23972</c:v>
                </c:pt>
                <c:pt idx="6">
                  <c:v>26818</c:v>
                </c:pt>
                <c:pt idx="7">
                  <c:v>12024</c:v>
                </c:pt>
                <c:pt idx="8">
                  <c:v>13256</c:v>
                </c:pt>
                <c:pt idx="9">
                  <c:v>22210</c:v>
                </c:pt>
                <c:pt idx="10">
                  <c:v>30072.356215213356</c:v>
                </c:pt>
                <c:pt idx="11">
                  <c:v>32418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F-4D67-AB3E-363D47250736}"/>
            </c:ext>
          </c:extLst>
        </c:ser>
        <c:ser>
          <c:idx val="3"/>
          <c:order val="3"/>
          <c:tx>
            <c:strRef>
              <c:f>'Leasing (Maq+Veh+Inmob)'!$E$19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(Maq+Veh+Inmob)'!$E$20:$E$31</c:f>
              <c:numCache>
                <c:formatCode>_-* #,##0_-;\-* #,##0_-;_-* "-"??_-;_-@_-</c:formatCode>
                <c:ptCount val="12"/>
                <c:pt idx="0">
                  <c:v>7268</c:v>
                </c:pt>
                <c:pt idx="1">
                  <c:v>7679</c:v>
                </c:pt>
                <c:pt idx="2">
                  <c:v>7938.9482800458509</c:v>
                </c:pt>
                <c:pt idx="3">
                  <c:v>8977.9</c:v>
                </c:pt>
                <c:pt idx="4">
                  <c:v>9606</c:v>
                </c:pt>
                <c:pt idx="5">
                  <c:v>15651.4</c:v>
                </c:pt>
                <c:pt idx="6">
                  <c:v>14293.29</c:v>
                </c:pt>
                <c:pt idx="7">
                  <c:v>9630</c:v>
                </c:pt>
                <c:pt idx="8">
                  <c:v>14528</c:v>
                </c:pt>
                <c:pt idx="9">
                  <c:v>15500</c:v>
                </c:pt>
                <c:pt idx="10">
                  <c:v>18007.34522560336</c:v>
                </c:pt>
                <c:pt idx="11">
                  <c:v>17161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F-4D67-AB3E-363D47250736}"/>
            </c:ext>
          </c:extLst>
        </c:ser>
        <c:ser>
          <c:idx val="4"/>
          <c:order val="4"/>
          <c:tx>
            <c:strRef>
              <c:f>'Leasing (Maq+Veh+Inmob)'!$F$19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(Maq+Veh+Inmob)'!$F$20:$F$31</c:f>
              <c:numCache>
                <c:formatCode>_-* #,##0_-;\-* #,##0_-;_-* "-"??_-;_-@_-</c:formatCode>
                <c:ptCount val="12"/>
                <c:pt idx="0">
                  <c:v>3819.3</c:v>
                </c:pt>
                <c:pt idx="1">
                  <c:v>5041.3999999999996</c:v>
                </c:pt>
                <c:pt idx="2">
                  <c:v>5459.7647343193412</c:v>
                </c:pt>
                <c:pt idx="3">
                  <c:v>6427.2000000000007</c:v>
                </c:pt>
                <c:pt idx="4">
                  <c:v>7323.9000000000005</c:v>
                </c:pt>
                <c:pt idx="5">
                  <c:v>9130.9</c:v>
                </c:pt>
                <c:pt idx="6">
                  <c:v>9014.19</c:v>
                </c:pt>
                <c:pt idx="7">
                  <c:v>6743.4</c:v>
                </c:pt>
                <c:pt idx="8">
                  <c:v>8936.369999999999</c:v>
                </c:pt>
                <c:pt idx="9">
                  <c:v>8982.43</c:v>
                </c:pt>
                <c:pt idx="10">
                  <c:v>10304.098360655738</c:v>
                </c:pt>
                <c:pt idx="11">
                  <c:v>12571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3F-4D67-AB3E-363D47250736}"/>
            </c:ext>
          </c:extLst>
        </c:ser>
        <c:ser>
          <c:idx val="5"/>
          <c:order val="5"/>
          <c:tx>
            <c:strRef>
              <c:f>'Leasing (Maq+Veh+Inmob)'!$G$19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(Maq+Veh+Inmob)'!$G$20:$G$31</c:f>
              <c:numCache>
                <c:formatCode>_-* #,##0_-;\-* #,##0_-;_-* "-"??_-;_-@_-</c:formatCode>
                <c:ptCount val="12"/>
                <c:pt idx="0">
                  <c:v>5905.8</c:v>
                </c:pt>
                <c:pt idx="1">
                  <c:v>5998.7</c:v>
                </c:pt>
                <c:pt idx="2">
                  <c:v>6464.1878839446472</c:v>
                </c:pt>
                <c:pt idx="3">
                  <c:v>7537.5999999999995</c:v>
                </c:pt>
                <c:pt idx="4">
                  <c:v>8311.9</c:v>
                </c:pt>
                <c:pt idx="5">
                  <c:v>5659.7999999999993</c:v>
                </c:pt>
                <c:pt idx="6">
                  <c:v>6906.77</c:v>
                </c:pt>
                <c:pt idx="7">
                  <c:v>6322.1599999999989</c:v>
                </c:pt>
                <c:pt idx="8">
                  <c:v>8586.6616009865284</c:v>
                </c:pt>
                <c:pt idx="9">
                  <c:v>9036.83</c:v>
                </c:pt>
                <c:pt idx="10">
                  <c:v>8509.1787439613527</c:v>
                </c:pt>
                <c:pt idx="11">
                  <c:v>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3F-4D67-AB3E-363D47250736}"/>
            </c:ext>
          </c:extLst>
        </c:ser>
        <c:ser>
          <c:idx val="6"/>
          <c:order val="6"/>
          <c:tx>
            <c:strRef>
              <c:f>'Leasing (Maq+Veh+Inmob)'!$H$19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(Maq+Veh+Inmob)'!$H$20:$H$31</c:f>
              <c:numCache>
                <c:formatCode>_-* #,##0_-;\-* #,##0_-;_-* "-"??_-;_-@_-</c:formatCode>
                <c:ptCount val="12"/>
                <c:pt idx="0">
                  <c:v>3565.9</c:v>
                </c:pt>
                <c:pt idx="1">
                  <c:v>4513.6000000000004</c:v>
                </c:pt>
                <c:pt idx="2">
                  <c:v>5683.0731769780523</c:v>
                </c:pt>
                <c:pt idx="3">
                  <c:v>6401.3</c:v>
                </c:pt>
                <c:pt idx="4">
                  <c:v>7669.5</c:v>
                </c:pt>
                <c:pt idx="5">
                  <c:v>7842.2000000000007</c:v>
                </c:pt>
                <c:pt idx="6">
                  <c:v>9142.65</c:v>
                </c:pt>
                <c:pt idx="7">
                  <c:v>5217.57</c:v>
                </c:pt>
                <c:pt idx="8">
                  <c:v>7535.66</c:v>
                </c:pt>
                <c:pt idx="9">
                  <c:v>7790.99</c:v>
                </c:pt>
                <c:pt idx="10">
                  <c:v>9007.8157926854074</c:v>
                </c:pt>
                <c:pt idx="11">
                  <c:v>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F-4D67-AB3E-363D47250736}"/>
            </c:ext>
          </c:extLst>
        </c:ser>
        <c:ser>
          <c:idx val="7"/>
          <c:order val="7"/>
          <c:tx>
            <c:strRef>
              <c:f>'Leasing (Maq+Veh+Inmob)'!$I$19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(Maq+Veh+Inmob)'!$A$20:$A$31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(Maq+Veh+Inmob)'!$I$20:$I$31</c:f>
              <c:numCache>
                <c:formatCode>_-* #,##0_-;\-* #,##0_-;_-* "-"??_-;_-@_-</c:formatCode>
                <c:ptCount val="12"/>
                <c:pt idx="0">
                  <c:v>29198.199999999993</c:v>
                </c:pt>
                <c:pt idx="1">
                  <c:v>35437.100000000006</c:v>
                </c:pt>
                <c:pt idx="2">
                  <c:v>34500.842720888628</c:v>
                </c:pt>
                <c:pt idx="3">
                  <c:v>39513</c:v>
                </c:pt>
                <c:pt idx="4">
                  <c:v>39347.4</c:v>
                </c:pt>
                <c:pt idx="5">
                  <c:v>38298.999999999993</c:v>
                </c:pt>
                <c:pt idx="6">
                  <c:v>43218.81</c:v>
                </c:pt>
                <c:pt idx="7">
                  <c:v>29761.360000000008</c:v>
                </c:pt>
                <c:pt idx="8">
                  <c:v>38100.539999999994</c:v>
                </c:pt>
                <c:pt idx="9">
                  <c:v>30895.18</c:v>
                </c:pt>
                <c:pt idx="10">
                  <c:v>27531.560747792188</c:v>
                </c:pt>
                <c:pt idx="11">
                  <c:v>29074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3F-4D67-AB3E-363D47250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911056"/>
        <c:axId val="863904816"/>
      </c:barChart>
      <c:catAx>
        <c:axId val="8639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04816"/>
        <c:crosses val="autoZero"/>
        <c:auto val="1"/>
        <c:lblAlgn val="ctr"/>
        <c:lblOffset val="100"/>
        <c:noMultiLvlLbl val="0"/>
      </c:catAx>
      <c:valAx>
        <c:axId val="8639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39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Europa.xlsx]Leasing (Vehículos)!TablaDinámica7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898829675276097E-2"/>
          <c:y val="0.14249781277340332"/>
          <c:w val="0.73416397225709107"/>
          <c:h val="0.6589012831729367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'Leasing (Vehículos)'!$B$1:$B$2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(Vehículos)'!$B$3:$B$15</c:f>
              <c:numCache>
                <c:formatCode>General</c:formatCode>
                <c:ptCount val="12"/>
                <c:pt idx="0">
                  <c:v>18199.8</c:v>
                </c:pt>
                <c:pt idx="1">
                  <c:v>22548.5</c:v>
                </c:pt>
                <c:pt idx="2">
                  <c:v>28090.241718889883</c:v>
                </c:pt>
                <c:pt idx="3">
                  <c:v>31376.799999999999</c:v>
                </c:pt>
                <c:pt idx="4">
                  <c:v>31979.200000000001</c:v>
                </c:pt>
                <c:pt idx="5">
                  <c:v>31798.799999999999</c:v>
                </c:pt>
                <c:pt idx="6">
                  <c:v>33401.050000000003</c:v>
                </c:pt>
                <c:pt idx="7">
                  <c:v>21707.82</c:v>
                </c:pt>
                <c:pt idx="8">
                  <c:v>30862.55</c:v>
                </c:pt>
                <c:pt idx="9">
                  <c:v>35453.68</c:v>
                </c:pt>
                <c:pt idx="10">
                  <c:v>36043.851286939942</c:v>
                </c:pt>
                <c:pt idx="11">
                  <c:v>37810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A-45E6-B7A5-62B0EACEF0A2}"/>
            </c:ext>
          </c:extLst>
        </c:ser>
        <c:ser>
          <c:idx val="1"/>
          <c:order val="1"/>
          <c:tx>
            <c:strRef>
              <c:f>'Leasing (Vehículos)'!$C$1:$C$2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(Vehículos)'!$C$3:$C$15</c:f>
              <c:numCache>
                <c:formatCode>General</c:formatCode>
                <c:ptCount val="12"/>
                <c:pt idx="0">
                  <c:v>10715</c:v>
                </c:pt>
                <c:pt idx="1">
                  <c:v>11523.1</c:v>
                </c:pt>
                <c:pt idx="2">
                  <c:v>13879.861541021801</c:v>
                </c:pt>
                <c:pt idx="3">
                  <c:v>15524.1</c:v>
                </c:pt>
                <c:pt idx="4">
                  <c:v>16743.599999999999</c:v>
                </c:pt>
                <c:pt idx="5">
                  <c:v>19059.8</c:v>
                </c:pt>
                <c:pt idx="6">
                  <c:v>20614.05</c:v>
                </c:pt>
                <c:pt idx="7">
                  <c:v>15955</c:v>
                </c:pt>
                <c:pt idx="8">
                  <c:v>20257</c:v>
                </c:pt>
                <c:pt idx="9">
                  <c:v>19843</c:v>
                </c:pt>
                <c:pt idx="10">
                  <c:v>23759.43485521503</c:v>
                </c:pt>
                <c:pt idx="11">
                  <c:v>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A-45E6-B7A5-62B0EACEF0A2}"/>
            </c:ext>
          </c:extLst>
        </c:ser>
        <c:ser>
          <c:idx val="2"/>
          <c:order val="2"/>
          <c:tx>
            <c:strRef>
              <c:f>'Leasing (Vehículos)'!$D$1:$D$2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(Vehículos)'!$D$3:$D$15</c:f>
              <c:numCache>
                <c:formatCode>General</c:formatCode>
                <c:ptCount val="12"/>
                <c:pt idx="0">
                  <c:v>14722</c:v>
                </c:pt>
                <c:pt idx="1">
                  <c:v>17300</c:v>
                </c:pt>
                <c:pt idx="2">
                  <c:v>13401.824461960854</c:v>
                </c:pt>
                <c:pt idx="3">
                  <c:v>15132</c:v>
                </c:pt>
                <c:pt idx="4">
                  <c:v>15132</c:v>
                </c:pt>
                <c:pt idx="5">
                  <c:v>13760</c:v>
                </c:pt>
                <c:pt idx="6">
                  <c:v>15728</c:v>
                </c:pt>
                <c:pt idx="7">
                  <c:v>6143</c:v>
                </c:pt>
                <c:pt idx="8">
                  <c:v>6576</c:v>
                </c:pt>
                <c:pt idx="9">
                  <c:v>15538</c:v>
                </c:pt>
                <c:pt idx="10">
                  <c:v>17533.394327538885</c:v>
                </c:pt>
                <c:pt idx="11">
                  <c:v>19164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2A-45E6-B7A5-62B0EACEF0A2}"/>
            </c:ext>
          </c:extLst>
        </c:ser>
        <c:ser>
          <c:idx val="3"/>
          <c:order val="3"/>
          <c:tx>
            <c:strRef>
              <c:f>'Leasing (Vehículos)'!$E$1:$E$2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(Vehículos)'!$E$3:$E$15</c:f>
              <c:numCache>
                <c:formatCode>General</c:formatCode>
                <c:ptCount val="12"/>
                <c:pt idx="0">
                  <c:v>2345</c:v>
                </c:pt>
                <c:pt idx="1">
                  <c:v>2546.0329999999999</c:v>
                </c:pt>
                <c:pt idx="2">
                  <c:v>2708.4359605911332</c:v>
                </c:pt>
                <c:pt idx="3">
                  <c:v>3518.8</c:v>
                </c:pt>
                <c:pt idx="4">
                  <c:v>3881</c:v>
                </c:pt>
                <c:pt idx="5">
                  <c:v>9150.1</c:v>
                </c:pt>
                <c:pt idx="6">
                  <c:v>7766.91</c:v>
                </c:pt>
                <c:pt idx="7">
                  <c:v>4929</c:v>
                </c:pt>
                <c:pt idx="8">
                  <c:v>7817</c:v>
                </c:pt>
                <c:pt idx="9">
                  <c:v>7906</c:v>
                </c:pt>
                <c:pt idx="10">
                  <c:v>11088.062622309197</c:v>
                </c:pt>
                <c:pt idx="11">
                  <c:v>11332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A-45E6-B7A5-62B0EACEF0A2}"/>
            </c:ext>
          </c:extLst>
        </c:ser>
        <c:ser>
          <c:idx val="4"/>
          <c:order val="4"/>
          <c:tx>
            <c:strRef>
              <c:f>'Leasing (Vehículos)'!$F$1:$F$2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(Vehículos)'!$F$3:$F$15</c:f>
              <c:numCache>
                <c:formatCode>General</c:formatCode>
                <c:ptCount val="12"/>
                <c:pt idx="0">
                  <c:v>4061.9</c:v>
                </c:pt>
                <c:pt idx="1">
                  <c:v>4166.8</c:v>
                </c:pt>
                <c:pt idx="2">
                  <c:v>4621.357602070635</c:v>
                </c:pt>
                <c:pt idx="3">
                  <c:v>5535</c:v>
                </c:pt>
                <c:pt idx="4">
                  <c:v>6214.4</c:v>
                </c:pt>
                <c:pt idx="5">
                  <c:v>4283.3</c:v>
                </c:pt>
                <c:pt idx="6">
                  <c:v>4932.12</c:v>
                </c:pt>
                <c:pt idx="7">
                  <c:v>4464.53</c:v>
                </c:pt>
                <c:pt idx="8">
                  <c:v>6580.051247983296</c:v>
                </c:pt>
                <c:pt idx="9">
                  <c:v>6933.4</c:v>
                </c:pt>
                <c:pt idx="10">
                  <c:v>6358.9743589743584</c:v>
                </c:pt>
                <c:pt idx="11">
                  <c:v>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2A-45E6-B7A5-62B0EACEF0A2}"/>
            </c:ext>
          </c:extLst>
        </c:ser>
        <c:ser>
          <c:idx val="5"/>
          <c:order val="5"/>
          <c:tx>
            <c:strRef>
              <c:f>'Leasing (Vehículos)'!$G$1:$G$2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(Vehículos)'!$G$3:$G$15</c:f>
              <c:numCache>
                <c:formatCode>General</c:formatCode>
                <c:ptCount val="12"/>
                <c:pt idx="0">
                  <c:v>2262.5</c:v>
                </c:pt>
                <c:pt idx="1">
                  <c:v>3193.3</c:v>
                </c:pt>
                <c:pt idx="2">
                  <c:v>3352.9282092732751</c:v>
                </c:pt>
                <c:pt idx="3">
                  <c:v>4563</c:v>
                </c:pt>
                <c:pt idx="4">
                  <c:v>5132.1000000000004</c:v>
                </c:pt>
                <c:pt idx="5">
                  <c:v>6448.3</c:v>
                </c:pt>
                <c:pt idx="6">
                  <c:v>6246.06</c:v>
                </c:pt>
                <c:pt idx="7">
                  <c:v>4276.38</c:v>
                </c:pt>
                <c:pt idx="8">
                  <c:v>6052.94</c:v>
                </c:pt>
                <c:pt idx="9">
                  <c:v>5996.37</c:v>
                </c:pt>
                <c:pt idx="10">
                  <c:v>7334.1269841269841</c:v>
                </c:pt>
                <c:pt idx="11">
                  <c:v>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2A-45E6-B7A5-62B0EACEF0A2}"/>
            </c:ext>
          </c:extLst>
        </c:ser>
        <c:ser>
          <c:idx val="6"/>
          <c:order val="6"/>
          <c:tx>
            <c:strRef>
              <c:f>'Leasing (Vehículos)'!$H$1:$H$2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(Vehículos)'!$H$3:$H$15</c:f>
              <c:numCache>
                <c:formatCode>General</c:formatCode>
                <c:ptCount val="12"/>
                <c:pt idx="0">
                  <c:v>2078.3000000000002</c:v>
                </c:pt>
                <c:pt idx="1">
                  <c:v>2656.6000000000004</c:v>
                </c:pt>
                <c:pt idx="2">
                  <c:v>3664.7941241440249</c:v>
                </c:pt>
                <c:pt idx="3">
                  <c:v>4207.6000000000004</c:v>
                </c:pt>
                <c:pt idx="4">
                  <c:v>4630.8999999999996</c:v>
                </c:pt>
                <c:pt idx="5">
                  <c:v>4646.2</c:v>
                </c:pt>
                <c:pt idx="6">
                  <c:v>5301.95</c:v>
                </c:pt>
                <c:pt idx="7">
                  <c:v>2791.2799999999997</c:v>
                </c:pt>
                <c:pt idx="8">
                  <c:v>4576.67</c:v>
                </c:pt>
                <c:pt idx="9">
                  <c:v>4504.62</c:v>
                </c:pt>
                <c:pt idx="10">
                  <c:v>5750.149054155032</c:v>
                </c:pt>
                <c:pt idx="11">
                  <c:v>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2A-45E6-B7A5-62B0EACEF0A2}"/>
            </c:ext>
          </c:extLst>
        </c:ser>
        <c:ser>
          <c:idx val="7"/>
          <c:order val="7"/>
          <c:tx>
            <c:strRef>
              <c:f>'Leasing (Vehículos)'!$I$1:$I$2</c:f>
              <c:strCache>
                <c:ptCount val="1"/>
                <c:pt idx="0">
                  <c:v>DK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(Vehículos)'!$I$3:$I$15</c:f>
              <c:numCache>
                <c:formatCode>General</c:formatCode>
                <c:ptCount val="12"/>
                <c:pt idx="0">
                  <c:v>2277.3000000000002</c:v>
                </c:pt>
                <c:pt idx="1">
                  <c:v>2259.1</c:v>
                </c:pt>
                <c:pt idx="2">
                  <c:v>2766.5078284547308</c:v>
                </c:pt>
                <c:pt idx="3">
                  <c:v>3251.2</c:v>
                </c:pt>
                <c:pt idx="4">
                  <c:v>3462.8</c:v>
                </c:pt>
                <c:pt idx="5">
                  <c:v>3522.9</c:v>
                </c:pt>
                <c:pt idx="6">
                  <c:v>3257.96</c:v>
                </c:pt>
                <c:pt idx="7">
                  <c:v>1687.01</c:v>
                </c:pt>
                <c:pt idx="8">
                  <c:v>2004.48</c:v>
                </c:pt>
                <c:pt idx="9">
                  <c:v>2285.75</c:v>
                </c:pt>
                <c:pt idx="10">
                  <c:v>2676.2152777777778</c:v>
                </c:pt>
                <c:pt idx="11">
                  <c:v>3083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2A-45E6-B7A5-62B0EACEF0A2}"/>
            </c:ext>
          </c:extLst>
        </c:ser>
        <c:ser>
          <c:idx val="8"/>
          <c:order val="8"/>
          <c:tx>
            <c:strRef>
              <c:f>'Leasing (Vehículos)'!$J$1:$J$2</c:f>
              <c:strCache>
                <c:ptCount val="1"/>
                <c:pt idx="0">
                  <c:v>CH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(Vehículos)'!$J$3:$J$15</c:f>
              <c:numCache>
                <c:formatCode>General</c:formatCode>
                <c:ptCount val="12"/>
                <c:pt idx="0">
                  <c:v>3625.4</c:v>
                </c:pt>
                <c:pt idx="1">
                  <c:v>3710.3</c:v>
                </c:pt>
                <c:pt idx="2">
                  <c:v>3974.381368267831</c:v>
                </c:pt>
                <c:pt idx="3">
                  <c:v>4095.6</c:v>
                </c:pt>
                <c:pt idx="4">
                  <c:v>4128.3999999999996</c:v>
                </c:pt>
                <c:pt idx="5">
                  <c:v>3915</c:v>
                </c:pt>
                <c:pt idx="6">
                  <c:v>4389.75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2A-45E6-B7A5-62B0EACEF0A2}"/>
            </c:ext>
          </c:extLst>
        </c:ser>
        <c:ser>
          <c:idx val="9"/>
          <c:order val="9"/>
          <c:tx>
            <c:strRef>
              <c:f>'Leasing (Vehículos)'!$K$1:$K$2</c:f>
              <c:strCache>
                <c:ptCount val="1"/>
                <c:pt idx="0">
                  <c:v>BE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(Vehículos)'!$K$3:$K$15</c:f>
              <c:numCache>
                <c:formatCode>General</c:formatCode>
                <c:ptCount val="12"/>
                <c:pt idx="1">
                  <c:v>1316</c:v>
                </c:pt>
                <c:pt idx="2">
                  <c:v>2268.0264844083722</c:v>
                </c:pt>
                <c:pt idx="3">
                  <c:v>2476.6</c:v>
                </c:pt>
                <c:pt idx="4">
                  <c:v>2883.2</c:v>
                </c:pt>
                <c:pt idx="5">
                  <c:v>2769.4</c:v>
                </c:pt>
                <c:pt idx="6">
                  <c:v>2930.85</c:v>
                </c:pt>
                <c:pt idx="7">
                  <c:v>2214.48</c:v>
                </c:pt>
                <c:pt idx="8">
                  <c:v>2559.0100000000002</c:v>
                </c:pt>
                <c:pt idx="9">
                  <c:v>1607.63</c:v>
                </c:pt>
                <c:pt idx="10">
                  <c:v>2353.5353535353534</c:v>
                </c:pt>
                <c:pt idx="11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2A-45E6-B7A5-62B0EACEF0A2}"/>
            </c:ext>
          </c:extLst>
        </c:ser>
        <c:ser>
          <c:idx val="10"/>
          <c:order val="10"/>
          <c:tx>
            <c:strRef>
              <c:f>'Leasing (Vehículos)'!$L$1:$L$2</c:f>
              <c:strCache>
                <c:ptCount val="1"/>
                <c:pt idx="0">
                  <c:v>AT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(Vehículos)'!$L$3:$L$15</c:f>
              <c:numCache>
                <c:formatCode>General</c:formatCode>
                <c:ptCount val="12"/>
                <c:pt idx="1">
                  <c:v>3625</c:v>
                </c:pt>
                <c:pt idx="2">
                  <c:v>1974.0303827548164</c:v>
                </c:pt>
                <c:pt idx="3">
                  <c:v>2326</c:v>
                </c:pt>
                <c:pt idx="4">
                  <c:v>2539.6</c:v>
                </c:pt>
                <c:pt idx="5">
                  <c:v>2876.7</c:v>
                </c:pt>
                <c:pt idx="6">
                  <c:v>3405.21</c:v>
                </c:pt>
                <c:pt idx="7">
                  <c:v>2502.75</c:v>
                </c:pt>
                <c:pt idx="8">
                  <c:v>2983.5</c:v>
                </c:pt>
                <c:pt idx="9">
                  <c:v>3132.6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2A-45E6-B7A5-62B0EACEF0A2}"/>
            </c:ext>
          </c:extLst>
        </c:ser>
        <c:ser>
          <c:idx val="11"/>
          <c:order val="11"/>
          <c:tx>
            <c:strRef>
              <c:f>'Leasing (Vehículos)'!$M$1:$M$2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(Vehículos)'!$M$3:$M$15</c:f>
              <c:numCache>
                <c:formatCode>General</c:formatCode>
                <c:ptCount val="12"/>
                <c:pt idx="0">
                  <c:v>1533.3</c:v>
                </c:pt>
                <c:pt idx="1">
                  <c:v>1663.5</c:v>
                </c:pt>
                <c:pt idx="2">
                  <c:v>1358.2384957941613</c:v>
                </c:pt>
                <c:pt idx="3">
                  <c:v>1647</c:v>
                </c:pt>
                <c:pt idx="4">
                  <c:v>2110.4</c:v>
                </c:pt>
                <c:pt idx="5">
                  <c:v>2129</c:v>
                </c:pt>
                <c:pt idx="6">
                  <c:v>2060.69</c:v>
                </c:pt>
                <c:pt idx="7">
                  <c:v>1562.68</c:v>
                </c:pt>
                <c:pt idx="8">
                  <c:v>2187.42</c:v>
                </c:pt>
                <c:pt idx="9">
                  <c:v>1874.78</c:v>
                </c:pt>
                <c:pt idx="10">
                  <c:v>1947.2222222222222</c:v>
                </c:pt>
                <c:pt idx="11">
                  <c:v>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2A-45E6-B7A5-62B0EACEF0A2}"/>
            </c:ext>
          </c:extLst>
        </c:ser>
        <c:ser>
          <c:idx val="12"/>
          <c:order val="12"/>
          <c:tx>
            <c:strRef>
              <c:f>'Leasing (Vehículos)'!$N$1:$N$2</c:f>
              <c:strCache>
                <c:ptCount val="1"/>
                <c:pt idx="0">
                  <c:v>RU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(Vehículos)'!$N$3:$N$15</c:f>
              <c:numCache>
                <c:formatCode>General</c:formatCode>
                <c:ptCount val="12"/>
                <c:pt idx="0">
                  <c:v>2257.6999999999998</c:v>
                </c:pt>
                <c:pt idx="1">
                  <c:v>2218.5</c:v>
                </c:pt>
                <c:pt idx="2">
                  <c:v>1070.7619339045289</c:v>
                </c:pt>
                <c:pt idx="3">
                  <c:v>1399.7</c:v>
                </c:pt>
                <c:pt idx="4">
                  <c:v>2211.9</c:v>
                </c:pt>
                <c:pt idx="6">
                  <c:v>3356.21</c:v>
                </c:pt>
                <c:pt idx="7">
                  <c:v>3224.92</c:v>
                </c:pt>
                <c:pt idx="8">
                  <c:v>4769.3900000000003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A2A-45E6-B7A5-62B0EACEF0A2}"/>
            </c:ext>
          </c:extLst>
        </c:ser>
        <c:ser>
          <c:idx val="13"/>
          <c:order val="13"/>
          <c:tx>
            <c:strRef>
              <c:f>'Leasing (Vehículos)'!$O$1:$O$2</c:f>
              <c:strCache>
                <c:ptCount val="1"/>
                <c:pt idx="0">
                  <c:v>CZ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(Vehículos)'!$O$3:$O$15</c:f>
              <c:numCache>
                <c:formatCode>General</c:formatCode>
                <c:ptCount val="12"/>
                <c:pt idx="0">
                  <c:v>469.5</c:v>
                </c:pt>
                <c:pt idx="1">
                  <c:v>554.20000000000005</c:v>
                </c:pt>
                <c:pt idx="2">
                  <c:v>634.56883509833585</c:v>
                </c:pt>
                <c:pt idx="3">
                  <c:v>838.9</c:v>
                </c:pt>
                <c:pt idx="4">
                  <c:v>880.5</c:v>
                </c:pt>
                <c:pt idx="5">
                  <c:v>1564.8</c:v>
                </c:pt>
                <c:pt idx="6">
                  <c:v>1230.02</c:v>
                </c:pt>
                <c:pt idx="7">
                  <c:v>957.01</c:v>
                </c:pt>
                <c:pt idx="8">
                  <c:v>1187.32</c:v>
                </c:pt>
                <c:pt idx="9">
                  <c:v>1367.07</c:v>
                </c:pt>
                <c:pt idx="10">
                  <c:v>1752.8846153846152</c:v>
                </c:pt>
                <c:pt idx="11">
                  <c:v>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2A-45E6-B7A5-62B0EACEF0A2}"/>
            </c:ext>
          </c:extLst>
        </c:ser>
        <c:ser>
          <c:idx val="14"/>
          <c:order val="14"/>
          <c:tx>
            <c:strRef>
              <c:f>'Leasing (Vehículos)'!$P$1:$P$2</c:f>
              <c:strCache>
                <c:ptCount val="1"/>
                <c:pt idx="0">
                  <c:v>TR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(Vehículos)'!$P$3:$P$15</c:f>
              <c:numCache>
                <c:formatCode>General</c:formatCode>
                <c:ptCount val="12"/>
                <c:pt idx="0">
                  <c:v>686.30000000000007</c:v>
                </c:pt>
                <c:pt idx="1">
                  <c:v>657.9</c:v>
                </c:pt>
                <c:pt idx="2">
                  <c:v>891.34553916649236</c:v>
                </c:pt>
                <c:pt idx="3">
                  <c:v>1349.3000000000002</c:v>
                </c:pt>
                <c:pt idx="4">
                  <c:v>1335.9</c:v>
                </c:pt>
                <c:pt idx="5">
                  <c:v>1070.4000000000001</c:v>
                </c:pt>
                <c:pt idx="6">
                  <c:v>401.72</c:v>
                </c:pt>
                <c:pt idx="7">
                  <c:v>466.89</c:v>
                </c:pt>
                <c:pt idx="8">
                  <c:v>974.52</c:v>
                </c:pt>
                <c:pt idx="9">
                  <c:v>1028.1600000000001</c:v>
                </c:pt>
                <c:pt idx="10">
                  <c:v>1551.6544855460036</c:v>
                </c:pt>
                <c:pt idx="11">
                  <c:v>1591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A2A-45E6-B7A5-62B0EACEF0A2}"/>
            </c:ext>
          </c:extLst>
        </c:ser>
        <c:ser>
          <c:idx val="15"/>
          <c:order val="15"/>
          <c:tx>
            <c:strRef>
              <c:f>'Leasing (Vehículos)'!$Q$1:$Q$2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(Vehículos)'!$Q$3:$Q$15</c:f>
              <c:numCache>
                <c:formatCode>General</c:formatCode>
                <c:ptCount val="12"/>
                <c:pt idx="0">
                  <c:v>636.9</c:v>
                </c:pt>
                <c:pt idx="1">
                  <c:v>686.2</c:v>
                </c:pt>
                <c:pt idx="2">
                  <c:v>665.08141221989365</c:v>
                </c:pt>
                <c:pt idx="3">
                  <c:v>825.1</c:v>
                </c:pt>
                <c:pt idx="4">
                  <c:v>888</c:v>
                </c:pt>
                <c:pt idx="5">
                  <c:v>894.6</c:v>
                </c:pt>
                <c:pt idx="6">
                  <c:v>913.65</c:v>
                </c:pt>
                <c:pt idx="7">
                  <c:v>665</c:v>
                </c:pt>
                <c:pt idx="8">
                  <c:v>842</c:v>
                </c:pt>
                <c:pt idx="9">
                  <c:v>988</c:v>
                </c:pt>
                <c:pt idx="10">
                  <c:v>1232.5141776937617</c:v>
                </c:pt>
                <c:pt idx="11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A2A-45E6-B7A5-62B0EACEF0A2}"/>
            </c:ext>
          </c:extLst>
        </c:ser>
        <c:ser>
          <c:idx val="16"/>
          <c:order val="16"/>
          <c:tx>
            <c:strRef>
              <c:f>'Leasing (Vehículos)'!$R$1:$R$2</c:f>
              <c:strCache>
                <c:ptCount val="1"/>
                <c:pt idx="0">
                  <c:v>PT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(Vehículos)'!$R$3:$R$15</c:f>
              <c:numCache>
                <c:formatCode>General</c:formatCode>
                <c:ptCount val="12"/>
                <c:pt idx="0">
                  <c:v>391</c:v>
                </c:pt>
                <c:pt idx="1">
                  <c:v>578</c:v>
                </c:pt>
                <c:pt idx="2">
                  <c:v>688.00527965682238</c:v>
                </c:pt>
                <c:pt idx="3">
                  <c:v>834</c:v>
                </c:pt>
                <c:pt idx="4">
                  <c:v>875</c:v>
                </c:pt>
                <c:pt idx="5">
                  <c:v>1053</c:v>
                </c:pt>
                <c:pt idx="6">
                  <c:v>1019</c:v>
                </c:pt>
                <c:pt idx="7">
                  <c:v>750</c:v>
                </c:pt>
                <c:pt idx="8">
                  <c:v>858</c:v>
                </c:pt>
                <c:pt idx="9">
                  <c:v>788</c:v>
                </c:pt>
                <c:pt idx="10">
                  <c:v>1025.3456221198157</c:v>
                </c:pt>
                <c:pt idx="11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A2A-45E6-B7A5-62B0EACEF0A2}"/>
            </c:ext>
          </c:extLst>
        </c:ser>
        <c:ser>
          <c:idx val="17"/>
          <c:order val="17"/>
          <c:tx>
            <c:strRef>
              <c:f>'Leasing (Vehículos)'!$S$1:$S$2</c:f>
              <c:strCache>
                <c:ptCount val="1"/>
                <c:pt idx="0">
                  <c:v>LT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(Vehículos)'!$S$3:$S$15</c:f>
              <c:numCache>
                <c:formatCode>General</c:formatCode>
                <c:ptCount val="12"/>
                <c:pt idx="0">
                  <c:v>267</c:v>
                </c:pt>
                <c:pt idx="1">
                  <c:v>299.5</c:v>
                </c:pt>
                <c:pt idx="2">
                  <c:v>377.99869039823801</c:v>
                </c:pt>
                <c:pt idx="3">
                  <c:v>635</c:v>
                </c:pt>
                <c:pt idx="4">
                  <c:v>669</c:v>
                </c:pt>
                <c:pt idx="5">
                  <c:v>834</c:v>
                </c:pt>
                <c:pt idx="6">
                  <c:v>836</c:v>
                </c:pt>
                <c:pt idx="7">
                  <c:v>425</c:v>
                </c:pt>
                <c:pt idx="8">
                  <c:v>810</c:v>
                </c:pt>
                <c:pt idx="9">
                  <c:v>773</c:v>
                </c:pt>
                <c:pt idx="10">
                  <c:v>891.6015625</c:v>
                </c:pt>
                <c:pt idx="11">
                  <c:v>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A2A-45E6-B7A5-62B0EACEF0A2}"/>
            </c:ext>
          </c:extLst>
        </c:ser>
        <c:ser>
          <c:idx val="18"/>
          <c:order val="18"/>
          <c:tx>
            <c:strRef>
              <c:f>'Leasing (Vehículos)'!$T$1:$T$2</c:f>
              <c:strCache>
                <c:ptCount val="1"/>
                <c:pt idx="0">
                  <c:v>HU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(Vehículos)'!$T$3:$T$15</c:f>
              <c:numCache>
                <c:formatCode>General</c:formatCode>
                <c:ptCount val="12"/>
                <c:pt idx="2">
                  <c:v>476.91241445031619</c:v>
                </c:pt>
                <c:pt idx="3">
                  <c:v>550.5</c:v>
                </c:pt>
                <c:pt idx="4">
                  <c:v>646.4</c:v>
                </c:pt>
                <c:pt idx="5">
                  <c:v>786.5</c:v>
                </c:pt>
                <c:pt idx="6">
                  <c:v>855.63</c:v>
                </c:pt>
                <c:pt idx="7">
                  <c:v>492.13</c:v>
                </c:pt>
                <c:pt idx="8">
                  <c:v>702.19</c:v>
                </c:pt>
                <c:pt idx="9">
                  <c:v>714.82</c:v>
                </c:pt>
                <c:pt idx="10">
                  <c:v>854.13005272407736</c:v>
                </c:pt>
                <c:pt idx="11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A2A-45E6-B7A5-62B0EACEF0A2}"/>
            </c:ext>
          </c:extLst>
        </c:ser>
        <c:ser>
          <c:idx val="19"/>
          <c:order val="19"/>
          <c:tx>
            <c:strRef>
              <c:f>'Leasing (Vehículos)'!$U$1:$U$2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(Vehículos)'!$U$3:$U$15</c:f>
              <c:numCache>
                <c:formatCode>General</c:formatCode>
                <c:ptCount val="12"/>
                <c:pt idx="0">
                  <c:v>359</c:v>
                </c:pt>
                <c:pt idx="1">
                  <c:v>311</c:v>
                </c:pt>
                <c:pt idx="2">
                  <c:v>293.48937620724917</c:v>
                </c:pt>
                <c:pt idx="3">
                  <c:v>516.6</c:v>
                </c:pt>
                <c:pt idx="4">
                  <c:v>564.29999999999995</c:v>
                </c:pt>
                <c:pt idx="5">
                  <c:v>621.29999999999995</c:v>
                </c:pt>
                <c:pt idx="6">
                  <c:v>608.59</c:v>
                </c:pt>
                <c:pt idx="7">
                  <c:v>466.32</c:v>
                </c:pt>
                <c:pt idx="8">
                  <c:v>624.23</c:v>
                </c:pt>
                <c:pt idx="10">
                  <c:v>810.75491209927611</c:v>
                </c:pt>
                <c:pt idx="11">
                  <c:v>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2A-45E6-B7A5-62B0EACEF0A2}"/>
            </c:ext>
          </c:extLst>
        </c:ser>
        <c:ser>
          <c:idx val="20"/>
          <c:order val="20"/>
          <c:tx>
            <c:strRef>
              <c:f>'Leasing (Vehículos)'!$V$1:$V$2</c:f>
              <c:strCache>
                <c:ptCount val="1"/>
                <c:pt idx="0">
                  <c:v>EE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(Vehículos)'!$V$3:$V$15</c:f>
              <c:numCache>
                <c:formatCode>General</c:formatCode>
                <c:ptCount val="12"/>
                <c:pt idx="0">
                  <c:v>288</c:v>
                </c:pt>
                <c:pt idx="1">
                  <c:v>206</c:v>
                </c:pt>
                <c:pt idx="2">
                  <c:v>295.99161222679248</c:v>
                </c:pt>
                <c:pt idx="3">
                  <c:v>367</c:v>
                </c:pt>
                <c:pt idx="4">
                  <c:v>428</c:v>
                </c:pt>
                <c:pt idx="5">
                  <c:v>470</c:v>
                </c:pt>
                <c:pt idx="6">
                  <c:v>456</c:v>
                </c:pt>
                <c:pt idx="7">
                  <c:v>294</c:v>
                </c:pt>
                <c:pt idx="8">
                  <c:v>432</c:v>
                </c:pt>
                <c:pt idx="9">
                  <c:v>482</c:v>
                </c:pt>
                <c:pt idx="10">
                  <c:v>480.16276703967446</c:v>
                </c:pt>
                <c:pt idx="11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A2A-45E6-B7A5-62B0EACEF0A2}"/>
            </c:ext>
          </c:extLst>
        </c:ser>
        <c:ser>
          <c:idx val="21"/>
          <c:order val="21"/>
          <c:tx>
            <c:strRef>
              <c:f>'Leasing (Vehículos)'!$W$1:$W$2</c:f>
              <c:strCache>
                <c:ptCount val="1"/>
                <c:pt idx="0">
                  <c:v>BG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(Vehículos)'!$W$3:$W$15</c:f>
              <c:numCache>
                <c:formatCode>General</c:formatCode>
                <c:ptCount val="12"/>
                <c:pt idx="0">
                  <c:v>178.7</c:v>
                </c:pt>
                <c:pt idx="1">
                  <c:v>211.2</c:v>
                </c:pt>
                <c:pt idx="2">
                  <c:v>247.61077324066028</c:v>
                </c:pt>
                <c:pt idx="3">
                  <c:v>285</c:v>
                </c:pt>
                <c:pt idx="4">
                  <c:v>318.8</c:v>
                </c:pt>
                <c:pt idx="5">
                  <c:v>403.9</c:v>
                </c:pt>
                <c:pt idx="6">
                  <c:v>452.27</c:v>
                </c:pt>
                <c:pt idx="7">
                  <c:v>312.70999999999998</c:v>
                </c:pt>
                <c:pt idx="8">
                  <c:v>421.55</c:v>
                </c:pt>
                <c:pt idx="9">
                  <c:v>483.33</c:v>
                </c:pt>
                <c:pt idx="10">
                  <c:v>603.23159784560141</c:v>
                </c:pt>
                <c:pt idx="11">
                  <c:v>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A2A-45E6-B7A5-62B0EACEF0A2}"/>
            </c:ext>
          </c:extLst>
        </c:ser>
        <c:ser>
          <c:idx val="22"/>
          <c:order val="22"/>
          <c:tx>
            <c:strRef>
              <c:f>'Leasing (Vehículos)'!$X$1:$X$2</c:f>
              <c:strCache>
                <c:ptCount val="1"/>
                <c:pt idx="0">
                  <c:v>MA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(Vehículos)'!$X$3:$X$15</c:f>
              <c:numCache>
                <c:formatCode>General</c:formatCode>
                <c:ptCount val="12"/>
                <c:pt idx="0">
                  <c:v>199.4</c:v>
                </c:pt>
                <c:pt idx="1">
                  <c:v>329.9</c:v>
                </c:pt>
                <c:pt idx="2">
                  <c:v>389.61240310077523</c:v>
                </c:pt>
                <c:pt idx="3">
                  <c:v>502.6</c:v>
                </c:pt>
                <c:pt idx="4">
                  <c:v>506.8</c:v>
                </c:pt>
                <c:pt idx="5">
                  <c:v>556.79999999999995</c:v>
                </c:pt>
                <c:pt idx="8">
                  <c:v>289.3</c:v>
                </c:pt>
                <c:pt idx="9">
                  <c:v>282.87</c:v>
                </c:pt>
                <c:pt idx="10">
                  <c:v>280.10704727921501</c:v>
                </c:pt>
                <c:pt idx="1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A2A-45E6-B7A5-62B0EACEF0A2}"/>
            </c:ext>
          </c:extLst>
        </c:ser>
        <c:ser>
          <c:idx val="23"/>
          <c:order val="23"/>
          <c:tx>
            <c:strRef>
              <c:f>'Leasing (Vehículos)'!$Y$1:$Y$2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(Vehículos)'!$Y$3:$Y$15</c:f>
              <c:numCache>
                <c:formatCode>General</c:formatCode>
                <c:ptCount val="12"/>
                <c:pt idx="0">
                  <c:v>796</c:v>
                </c:pt>
                <c:pt idx="1">
                  <c:v>835</c:v>
                </c:pt>
                <c:pt idx="2">
                  <c:v>917.98027480401254</c:v>
                </c:pt>
                <c:pt idx="3">
                  <c:v>1089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A2A-45E6-B7A5-62B0EACEF0A2}"/>
            </c:ext>
          </c:extLst>
        </c:ser>
        <c:ser>
          <c:idx val="24"/>
          <c:order val="24"/>
          <c:tx>
            <c:strRef>
              <c:f>'Leasing (Vehículos)'!$Z$1:$Z$2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(Vehículos)'!$Z$3:$Z$15</c:f>
              <c:numCache>
                <c:formatCode>General</c:formatCode>
                <c:ptCount val="12"/>
                <c:pt idx="2">
                  <c:v>0</c:v>
                </c:pt>
                <c:pt idx="7">
                  <c:v>332.28</c:v>
                </c:pt>
                <c:pt idx="8">
                  <c:v>477.03</c:v>
                </c:pt>
                <c:pt idx="9">
                  <c:v>597.22</c:v>
                </c:pt>
                <c:pt idx="10">
                  <c:v>779.81651376146783</c:v>
                </c:pt>
                <c:pt idx="11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A2A-45E6-B7A5-62B0EACEF0A2}"/>
            </c:ext>
          </c:extLst>
        </c:ser>
        <c:ser>
          <c:idx val="25"/>
          <c:order val="25"/>
          <c:tx>
            <c:strRef>
              <c:f>'Leasing (Vehículos)'!$AA$1:$AA$2</c:f>
              <c:strCache>
                <c:ptCount val="1"/>
                <c:pt idx="0">
                  <c:v>LV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(Vehículos)'!$AA$3:$AA$15</c:f>
              <c:numCache>
                <c:formatCode>General</c:formatCode>
                <c:ptCount val="12"/>
                <c:pt idx="0">
                  <c:v>198.5</c:v>
                </c:pt>
                <c:pt idx="1">
                  <c:v>202.4</c:v>
                </c:pt>
                <c:pt idx="2">
                  <c:v>223.18740861787219</c:v>
                </c:pt>
                <c:pt idx="3">
                  <c:v>259.5</c:v>
                </c:pt>
                <c:pt idx="4">
                  <c:v>284.8</c:v>
                </c:pt>
                <c:pt idx="5">
                  <c:v>426</c:v>
                </c:pt>
                <c:pt idx="6">
                  <c:v>286</c:v>
                </c:pt>
                <c:pt idx="7">
                  <c:v>159</c:v>
                </c:pt>
                <c:pt idx="8">
                  <c:v>234</c:v>
                </c:pt>
                <c:pt idx="9">
                  <c:v>260</c:v>
                </c:pt>
                <c:pt idx="10">
                  <c:v>257.90010193679922</c:v>
                </c:pt>
                <c:pt idx="11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A2A-45E6-B7A5-62B0EACEF0A2}"/>
            </c:ext>
          </c:extLst>
        </c:ser>
        <c:ser>
          <c:idx val="26"/>
          <c:order val="26"/>
          <c:tx>
            <c:strRef>
              <c:f>'Leasing (Vehículos)'!$AB$1:$AB$2</c:f>
              <c:strCache>
                <c:ptCount val="1"/>
                <c:pt idx="0">
                  <c:v>UA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(Vehículos)'!$AB$3:$AB$15</c:f>
              <c:numCache>
                <c:formatCode>General</c:formatCode>
                <c:ptCount val="12"/>
                <c:pt idx="1">
                  <c:v>75.099999999999994</c:v>
                </c:pt>
                <c:pt idx="2">
                  <c:v>0</c:v>
                </c:pt>
                <c:pt idx="6">
                  <c:v>103.09</c:v>
                </c:pt>
                <c:pt idx="7">
                  <c:v>287.55</c:v>
                </c:pt>
                <c:pt idx="8">
                  <c:v>232.23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A2A-45E6-B7A5-62B0EACEF0A2}"/>
            </c:ext>
          </c:extLst>
        </c:ser>
        <c:ser>
          <c:idx val="27"/>
          <c:order val="27"/>
          <c:tx>
            <c:strRef>
              <c:f>'Leasing (Vehículos)'!$AC$1:$AC$2</c:f>
              <c:strCache>
                <c:ptCount val="1"/>
                <c:pt idx="0">
                  <c:v>GR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(Vehículos)'!$AC$3:$AC$15</c:f>
              <c:numCache>
                <c:formatCode>General</c:formatCode>
                <c:ptCount val="12"/>
                <c:pt idx="1">
                  <c:v>19.7</c:v>
                </c:pt>
                <c:pt idx="2">
                  <c:v>25.889967637540455</c:v>
                </c:pt>
                <c:pt idx="3">
                  <c:v>40</c:v>
                </c:pt>
                <c:pt idx="4">
                  <c:v>50.7</c:v>
                </c:pt>
                <c:pt idx="5">
                  <c:v>55.3</c:v>
                </c:pt>
                <c:pt idx="6">
                  <c:v>58.78</c:v>
                </c:pt>
                <c:pt idx="7">
                  <c:v>59.71</c:v>
                </c:pt>
                <c:pt idx="8">
                  <c:v>61.07</c:v>
                </c:pt>
                <c:pt idx="9">
                  <c:v>37.26</c:v>
                </c:pt>
                <c:pt idx="10">
                  <c:v>83.024462564862858</c:v>
                </c:pt>
                <c:pt idx="1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A2A-45E6-B7A5-62B0EACEF0A2}"/>
            </c:ext>
          </c:extLst>
        </c:ser>
        <c:ser>
          <c:idx val="28"/>
          <c:order val="28"/>
          <c:tx>
            <c:strRef>
              <c:f>'Leasing (Vehículos)'!$AD$1:$AD$2</c:f>
              <c:strCache>
                <c:ptCount val="1"/>
                <c:pt idx="0">
                  <c:v>NL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(Vehículos)'!$A$3:$A$15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(Vehículos)'!$AD$3:$AD$15</c:f>
              <c:numCache>
                <c:formatCode>General</c:formatCode>
                <c:ptCount val="12"/>
                <c:pt idx="2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A2A-45E6-B7A5-62B0EACEF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2800224"/>
        <c:axId val="702802624"/>
      </c:barChart>
      <c:catAx>
        <c:axId val="7028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2802624"/>
        <c:crosses val="autoZero"/>
        <c:auto val="1"/>
        <c:lblAlgn val="ctr"/>
        <c:lblOffset val="100"/>
        <c:noMultiLvlLbl val="0"/>
      </c:catAx>
      <c:valAx>
        <c:axId val="7028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280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77616747181968"/>
          <c:y val="0.19292723826188393"/>
          <c:w val="0.18156199677938809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Vehículos por países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'Leasing (Vehículos)'!$B$17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(Vehículos)'!$B$18:$B$29</c:f>
              <c:numCache>
                <c:formatCode>_-* #,##0_-;\-* #,##0_-;_-* "-"??_-;_-@_-</c:formatCode>
                <c:ptCount val="12"/>
                <c:pt idx="0">
                  <c:v>18199.8</c:v>
                </c:pt>
                <c:pt idx="1">
                  <c:v>22548.5</c:v>
                </c:pt>
                <c:pt idx="2">
                  <c:v>28090.241718889883</c:v>
                </c:pt>
                <c:pt idx="3">
                  <c:v>31376.799999999999</c:v>
                </c:pt>
                <c:pt idx="4">
                  <c:v>31979.200000000001</c:v>
                </c:pt>
                <c:pt idx="5">
                  <c:v>31798.799999999999</c:v>
                </c:pt>
                <c:pt idx="6">
                  <c:v>33401.050000000003</c:v>
                </c:pt>
                <c:pt idx="7">
                  <c:v>21707.82</c:v>
                </c:pt>
                <c:pt idx="8">
                  <c:v>30862.55</c:v>
                </c:pt>
                <c:pt idx="9">
                  <c:v>35453.68</c:v>
                </c:pt>
                <c:pt idx="10">
                  <c:v>36043.851286939942</c:v>
                </c:pt>
                <c:pt idx="11">
                  <c:v>37810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6-409A-984E-1C8FD8EB299F}"/>
            </c:ext>
          </c:extLst>
        </c:ser>
        <c:ser>
          <c:idx val="1"/>
          <c:order val="1"/>
          <c:tx>
            <c:strRef>
              <c:f>'Leasing (Vehículos)'!$C$17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(Vehículos)'!$C$18:$C$29</c:f>
              <c:numCache>
                <c:formatCode>_-* #,##0_-;\-* #,##0_-;_-* "-"??_-;_-@_-</c:formatCode>
                <c:ptCount val="12"/>
                <c:pt idx="0">
                  <c:v>10715</c:v>
                </c:pt>
                <c:pt idx="1">
                  <c:v>11523.1</c:v>
                </c:pt>
                <c:pt idx="2">
                  <c:v>13879.861541021801</c:v>
                </c:pt>
                <c:pt idx="3">
                  <c:v>15524.1</c:v>
                </c:pt>
                <c:pt idx="4">
                  <c:v>16743.599999999999</c:v>
                </c:pt>
                <c:pt idx="5">
                  <c:v>19059.8</c:v>
                </c:pt>
                <c:pt idx="6">
                  <c:v>20614.05</c:v>
                </c:pt>
                <c:pt idx="7">
                  <c:v>15955</c:v>
                </c:pt>
                <c:pt idx="8">
                  <c:v>20257</c:v>
                </c:pt>
                <c:pt idx="9">
                  <c:v>19843</c:v>
                </c:pt>
                <c:pt idx="10">
                  <c:v>23759.43485521503</c:v>
                </c:pt>
                <c:pt idx="11">
                  <c:v>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6-409A-984E-1C8FD8EB299F}"/>
            </c:ext>
          </c:extLst>
        </c:ser>
        <c:ser>
          <c:idx val="2"/>
          <c:order val="2"/>
          <c:tx>
            <c:strRef>
              <c:f>'Leasing (Vehículos)'!$D$17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(Vehículos)'!$D$18:$D$29</c:f>
              <c:numCache>
                <c:formatCode>_-* #,##0_-;\-* #,##0_-;_-* "-"??_-;_-@_-</c:formatCode>
                <c:ptCount val="12"/>
                <c:pt idx="0">
                  <c:v>14722</c:v>
                </c:pt>
                <c:pt idx="1">
                  <c:v>17300</c:v>
                </c:pt>
                <c:pt idx="2">
                  <c:v>13401.824461960854</c:v>
                </c:pt>
                <c:pt idx="3">
                  <c:v>15132</c:v>
                </c:pt>
                <c:pt idx="4">
                  <c:v>15132</c:v>
                </c:pt>
                <c:pt idx="5">
                  <c:v>13760</c:v>
                </c:pt>
                <c:pt idx="6">
                  <c:v>15728</c:v>
                </c:pt>
                <c:pt idx="7">
                  <c:v>6143</c:v>
                </c:pt>
                <c:pt idx="8">
                  <c:v>6576</c:v>
                </c:pt>
                <c:pt idx="9">
                  <c:v>15538</c:v>
                </c:pt>
                <c:pt idx="10">
                  <c:v>17533.394327538885</c:v>
                </c:pt>
                <c:pt idx="11">
                  <c:v>19164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6-409A-984E-1C8FD8EB299F}"/>
            </c:ext>
          </c:extLst>
        </c:ser>
        <c:ser>
          <c:idx val="3"/>
          <c:order val="3"/>
          <c:tx>
            <c:strRef>
              <c:f>'Leasing (Vehículos)'!$E$17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(Vehículos)'!$E$18:$E$29</c:f>
              <c:numCache>
                <c:formatCode>_-* #,##0_-;\-* #,##0_-;_-* "-"??_-;_-@_-</c:formatCode>
                <c:ptCount val="12"/>
                <c:pt idx="0">
                  <c:v>2345</c:v>
                </c:pt>
                <c:pt idx="1">
                  <c:v>2546.0329999999999</c:v>
                </c:pt>
                <c:pt idx="2">
                  <c:v>2708.4359605911332</c:v>
                </c:pt>
                <c:pt idx="3">
                  <c:v>3518.8</c:v>
                </c:pt>
                <c:pt idx="4">
                  <c:v>3881</c:v>
                </c:pt>
                <c:pt idx="5">
                  <c:v>9150.1</c:v>
                </c:pt>
                <c:pt idx="6">
                  <c:v>7766.91</c:v>
                </c:pt>
                <c:pt idx="7">
                  <c:v>4929</c:v>
                </c:pt>
                <c:pt idx="8">
                  <c:v>7817</c:v>
                </c:pt>
                <c:pt idx="9">
                  <c:v>7906</c:v>
                </c:pt>
                <c:pt idx="10">
                  <c:v>11088.062622309197</c:v>
                </c:pt>
                <c:pt idx="11">
                  <c:v>11332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6-409A-984E-1C8FD8EB299F}"/>
            </c:ext>
          </c:extLst>
        </c:ser>
        <c:ser>
          <c:idx val="4"/>
          <c:order val="4"/>
          <c:tx>
            <c:strRef>
              <c:f>'Leasing (Vehículos)'!$F$17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(Vehículos)'!$F$18:$F$29</c:f>
              <c:numCache>
                <c:formatCode>_-* #,##0_-;\-* #,##0_-;_-* "-"??_-;_-@_-</c:formatCode>
                <c:ptCount val="12"/>
                <c:pt idx="0">
                  <c:v>4061.9</c:v>
                </c:pt>
                <c:pt idx="1">
                  <c:v>4166.8</c:v>
                </c:pt>
                <c:pt idx="2">
                  <c:v>4621.357602070635</c:v>
                </c:pt>
                <c:pt idx="3">
                  <c:v>5535</c:v>
                </c:pt>
                <c:pt idx="4">
                  <c:v>6214.4</c:v>
                </c:pt>
                <c:pt idx="5">
                  <c:v>4283.3</c:v>
                </c:pt>
                <c:pt idx="6">
                  <c:v>4932.12</c:v>
                </c:pt>
                <c:pt idx="7">
                  <c:v>4464.53</c:v>
                </c:pt>
                <c:pt idx="8">
                  <c:v>6580.051247983296</c:v>
                </c:pt>
                <c:pt idx="9">
                  <c:v>6933.4</c:v>
                </c:pt>
                <c:pt idx="10">
                  <c:v>6358.9743589743584</c:v>
                </c:pt>
                <c:pt idx="11">
                  <c:v>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6-409A-984E-1C8FD8EB299F}"/>
            </c:ext>
          </c:extLst>
        </c:ser>
        <c:ser>
          <c:idx val="5"/>
          <c:order val="5"/>
          <c:tx>
            <c:strRef>
              <c:f>'Leasing (Vehículos)'!$G$17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(Vehículos)'!$G$18:$G$29</c:f>
              <c:numCache>
                <c:formatCode>_-* #,##0_-;\-* #,##0_-;_-* "-"??_-;_-@_-</c:formatCode>
                <c:ptCount val="12"/>
                <c:pt idx="0">
                  <c:v>2262.5</c:v>
                </c:pt>
                <c:pt idx="1">
                  <c:v>3193.3</c:v>
                </c:pt>
                <c:pt idx="2">
                  <c:v>3352.9282092732751</c:v>
                </c:pt>
                <c:pt idx="3">
                  <c:v>4563</c:v>
                </c:pt>
                <c:pt idx="4">
                  <c:v>5132.1000000000004</c:v>
                </c:pt>
                <c:pt idx="5">
                  <c:v>6448.3</c:v>
                </c:pt>
                <c:pt idx="6">
                  <c:v>6246.06</c:v>
                </c:pt>
                <c:pt idx="7">
                  <c:v>4276.38</c:v>
                </c:pt>
                <c:pt idx="8">
                  <c:v>6052.94</c:v>
                </c:pt>
                <c:pt idx="9">
                  <c:v>5996.37</c:v>
                </c:pt>
                <c:pt idx="10">
                  <c:v>7334.1269841269841</c:v>
                </c:pt>
                <c:pt idx="11">
                  <c:v>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26-409A-984E-1C8FD8EB299F}"/>
            </c:ext>
          </c:extLst>
        </c:ser>
        <c:ser>
          <c:idx val="6"/>
          <c:order val="6"/>
          <c:tx>
            <c:strRef>
              <c:f>'Leasing (Vehículos)'!$H$17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(Vehículos)'!$H$18:$H$29</c:f>
              <c:numCache>
                <c:formatCode>_-* #,##0_-;\-* #,##0_-;_-* "-"??_-;_-@_-</c:formatCode>
                <c:ptCount val="12"/>
                <c:pt idx="0">
                  <c:v>2078.3000000000002</c:v>
                </c:pt>
                <c:pt idx="1">
                  <c:v>2656.6000000000004</c:v>
                </c:pt>
                <c:pt idx="2">
                  <c:v>3664.7941241440249</c:v>
                </c:pt>
                <c:pt idx="3">
                  <c:v>4207.6000000000004</c:v>
                </c:pt>
                <c:pt idx="4">
                  <c:v>4630.8999999999996</c:v>
                </c:pt>
                <c:pt idx="5">
                  <c:v>4646.2</c:v>
                </c:pt>
                <c:pt idx="6">
                  <c:v>5301.95</c:v>
                </c:pt>
                <c:pt idx="7">
                  <c:v>2791.2799999999997</c:v>
                </c:pt>
                <c:pt idx="8">
                  <c:v>4576.67</c:v>
                </c:pt>
                <c:pt idx="9">
                  <c:v>4504.62</c:v>
                </c:pt>
                <c:pt idx="10">
                  <c:v>5750.149054155032</c:v>
                </c:pt>
                <c:pt idx="11">
                  <c:v>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26-409A-984E-1C8FD8EB299F}"/>
            </c:ext>
          </c:extLst>
        </c:ser>
        <c:ser>
          <c:idx val="7"/>
          <c:order val="7"/>
          <c:tx>
            <c:strRef>
              <c:f>'Leasing (Vehículos)'!$I$17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(Vehículos)'!$I$18:$I$29</c:f>
              <c:numCache>
                <c:formatCode>_-* #,##0_-;\-* #,##0_-;_-* "-"??_-;_-@_-</c:formatCode>
                <c:ptCount val="12"/>
                <c:pt idx="0">
                  <c:v>14164</c:v>
                </c:pt>
                <c:pt idx="1">
                  <c:v>19758.500000000004</c:v>
                </c:pt>
                <c:pt idx="2">
                  <c:v>19539.620480409438</c:v>
                </c:pt>
                <c:pt idx="3">
                  <c:v>23288.599999999995</c:v>
                </c:pt>
                <c:pt idx="4">
                  <c:v>24784.5</c:v>
                </c:pt>
                <c:pt idx="5">
                  <c:v>23949.599999999999</c:v>
                </c:pt>
                <c:pt idx="6">
                  <c:v>26621.420000000006</c:v>
                </c:pt>
                <c:pt idx="7">
                  <c:v>16859.439999999999</c:v>
                </c:pt>
                <c:pt idx="8">
                  <c:v>22649.239999999994</c:v>
                </c:pt>
                <c:pt idx="9">
                  <c:v>16702.489999999998</c:v>
                </c:pt>
                <c:pt idx="10">
                  <c:v>17580.100772030524</c:v>
                </c:pt>
                <c:pt idx="11">
                  <c:v>18996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26-409A-984E-1C8FD8EB2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024016"/>
        <c:axId val="650994736"/>
      </c:barChart>
      <c:catAx>
        <c:axId val="6510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94736"/>
        <c:crosses val="autoZero"/>
        <c:auto val="1"/>
        <c:lblAlgn val="ctr"/>
        <c:lblOffset val="100"/>
        <c:noMultiLvlLbl val="0"/>
      </c:catAx>
      <c:valAx>
        <c:axId val="6509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0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Vehículos por países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'Leasing (Vehículos)'!$B$17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(Vehículos)'!$B$18:$B$29</c:f>
              <c:numCache>
                <c:formatCode>_-* #,##0_-;\-* #,##0_-;_-* "-"??_-;_-@_-</c:formatCode>
                <c:ptCount val="12"/>
                <c:pt idx="0">
                  <c:v>18199.8</c:v>
                </c:pt>
                <c:pt idx="1">
                  <c:v>22548.5</c:v>
                </c:pt>
                <c:pt idx="2">
                  <c:v>28090.241718889883</c:v>
                </c:pt>
                <c:pt idx="3">
                  <c:v>31376.799999999999</c:v>
                </c:pt>
                <c:pt idx="4">
                  <c:v>31979.200000000001</c:v>
                </c:pt>
                <c:pt idx="5">
                  <c:v>31798.799999999999</c:v>
                </c:pt>
                <c:pt idx="6">
                  <c:v>33401.050000000003</c:v>
                </c:pt>
                <c:pt idx="7">
                  <c:v>21707.82</c:v>
                </c:pt>
                <c:pt idx="8">
                  <c:v>30862.55</c:v>
                </c:pt>
                <c:pt idx="9">
                  <c:v>35453.68</c:v>
                </c:pt>
                <c:pt idx="10">
                  <c:v>36043.851286939942</c:v>
                </c:pt>
                <c:pt idx="11">
                  <c:v>37810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2-4266-BFAF-C77FB5751B6D}"/>
            </c:ext>
          </c:extLst>
        </c:ser>
        <c:ser>
          <c:idx val="1"/>
          <c:order val="1"/>
          <c:tx>
            <c:strRef>
              <c:f>'Leasing (Vehículos)'!$C$17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(Vehículos)'!$C$18:$C$29</c:f>
              <c:numCache>
                <c:formatCode>_-* #,##0_-;\-* #,##0_-;_-* "-"??_-;_-@_-</c:formatCode>
                <c:ptCount val="12"/>
                <c:pt idx="0">
                  <c:v>10715</c:v>
                </c:pt>
                <c:pt idx="1">
                  <c:v>11523.1</c:v>
                </c:pt>
                <c:pt idx="2">
                  <c:v>13879.861541021801</c:v>
                </c:pt>
                <c:pt idx="3">
                  <c:v>15524.1</c:v>
                </c:pt>
                <c:pt idx="4">
                  <c:v>16743.599999999999</c:v>
                </c:pt>
                <c:pt idx="5">
                  <c:v>19059.8</c:v>
                </c:pt>
                <c:pt idx="6">
                  <c:v>20614.05</c:v>
                </c:pt>
                <c:pt idx="7">
                  <c:v>15955</c:v>
                </c:pt>
                <c:pt idx="8">
                  <c:v>20257</c:v>
                </c:pt>
                <c:pt idx="9">
                  <c:v>19843</c:v>
                </c:pt>
                <c:pt idx="10">
                  <c:v>23759.43485521503</c:v>
                </c:pt>
                <c:pt idx="11">
                  <c:v>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2-4266-BFAF-C77FB5751B6D}"/>
            </c:ext>
          </c:extLst>
        </c:ser>
        <c:ser>
          <c:idx val="2"/>
          <c:order val="2"/>
          <c:tx>
            <c:strRef>
              <c:f>'Leasing (Vehículos)'!$D$17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(Vehículos)'!$D$18:$D$29</c:f>
              <c:numCache>
                <c:formatCode>_-* #,##0_-;\-* #,##0_-;_-* "-"??_-;_-@_-</c:formatCode>
                <c:ptCount val="12"/>
                <c:pt idx="0">
                  <c:v>14722</c:v>
                </c:pt>
                <c:pt idx="1">
                  <c:v>17300</c:v>
                </c:pt>
                <c:pt idx="2">
                  <c:v>13401.824461960854</c:v>
                </c:pt>
                <c:pt idx="3">
                  <c:v>15132</c:v>
                </c:pt>
                <c:pt idx="4">
                  <c:v>15132</c:v>
                </c:pt>
                <c:pt idx="5">
                  <c:v>13760</c:v>
                </c:pt>
                <c:pt idx="6">
                  <c:v>15728</c:v>
                </c:pt>
                <c:pt idx="7">
                  <c:v>6143</c:v>
                </c:pt>
                <c:pt idx="8">
                  <c:v>6576</c:v>
                </c:pt>
                <c:pt idx="9">
                  <c:v>15538</c:v>
                </c:pt>
                <c:pt idx="10">
                  <c:v>17533.394327538885</c:v>
                </c:pt>
                <c:pt idx="11">
                  <c:v>19164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2-4266-BFAF-C77FB5751B6D}"/>
            </c:ext>
          </c:extLst>
        </c:ser>
        <c:ser>
          <c:idx val="3"/>
          <c:order val="3"/>
          <c:tx>
            <c:strRef>
              <c:f>'Leasing (Vehículos)'!$E$17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(Vehículos)'!$E$18:$E$29</c:f>
              <c:numCache>
                <c:formatCode>_-* #,##0_-;\-* #,##0_-;_-* "-"??_-;_-@_-</c:formatCode>
                <c:ptCount val="12"/>
                <c:pt idx="0">
                  <c:v>2345</c:v>
                </c:pt>
                <c:pt idx="1">
                  <c:v>2546.0329999999999</c:v>
                </c:pt>
                <c:pt idx="2">
                  <c:v>2708.4359605911332</c:v>
                </c:pt>
                <c:pt idx="3">
                  <c:v>3518.8</c:v>
                </c:pt>
                <c:pt idx="4">
                  <c:v>3881</c:v>
                </c:pt>
                <c:pt idx="5">
                  <c:v>9150.1</c:v>
                </c:pt>
                <c:pt idx="6">
                  <c:v>7766.91</c:v>
                </c:pt>
                <c:pt idx="7">
                  <c:v>4929</c:v>
                </c:pt>
                <c:pt idx="8">
                  <c:v>7817</c:v>
                </c:pt>
                <c:pt idx="9">
                  <c:v>7906</c:v>
                </c:pt>
                <c:pt idx="10">
                  <c:v>11088.062622309197</c:v>
                </c:pt>
                <c:pt idx="11">
                  <c:v>11332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12-4266-BFAF-C77FB5751B6D}"/>
            </c:ext>
          </c:extLst>
        </c:ser>
        <c:ser>
          <c:idx val="4"/>
          <c:order val="4"/>
          <c:tx>
            <c:strRef>
              <c:f>'Leasing (Vehículos)'!$F$17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(Vehículos)'!$F$18:$F$29</c:f>
              <c:numCache>
                <c:formatCode>_-* #,##0_-;\-* #,##0_-;_-* "-"??_-;_-@_-</c:formatCode>
                <c:ptCount val="12"/>
                <c:pt idx="0">
                  <c:v>4061.9</c:v>
                </c:pt>
                <c:pt idx="1">
                  <c:v>4166.8</c:v>
                </c:pt>
                <c:pt idx="2">
                  <c:v>4621.357602070635</c:v>
                </c:pt>
                <c:pt idx="3">
                  <c:v>5535</c:v>
                </c:pt>
                <c:pt idx="4">
                  <c:v>6214.4</c:v>
                </c:pt>
                <c:pt idx="5">
                  <c:v>4283.3</c:v>
                </c:pt>
                <c:pt idx="6">
                  <c:v>4932.12</c:v>
                </c:pt>
                <c:pt idx="7">
                  <c:v>4464.53</c:v>
                </c:pt>
                <c:pt idx="8">
                  <c:v>6580.051247983296</c:v>
                </c:pt>
                <c:pt idx="9">
                  <c:v>6933.4</c:v>
                </c:pt>
                <c:pt idx="10">
                  <c:v>6358.9743589743584</c:v>
                </c:pt>
                <c:pt idx="11">
                  <c:v>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2-4266-BFAF-C77FB5751B6D}"/>
            </c:ext>
          </c:extLst>
        </c:ser>
        <c:ser>
          <c:idx val="5"/>
          <c:order val="5"/>
          <c:tx>
            <c:strRef>
              <c:f>'Leasing (Vehículos)'!$G$17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(Vehículos)'!$G$18:$G$29</c:f>
              <c:numCache>
                <c:formatCode>_-* #,##0_-;\-* #,##0_-;_-* "-"??_-;_-@_-</c:formatCode>
                <c:ptCount val="12"/>
                <c:pt idx="0">
                  <c:v>2262.5</c:v>
                </c:pt>
                <c:pt idx="1">
                  <c:v>3193.3</c:v>
                </c:pt>
                <c:pt idx="2">
                  <c:v>3352.9282092732751</c:v>
                </c:pt>
                <c:pt idx="3">
                  <c:v>4563</c:v>
                </c:pt>
                <c:pt idx="4">
                  <c:v>5132.1000000000004</c:v>
                </c:pt>
                <c:pt idx="5">
                  <c:v>6448.3</c:v>
                </c:pt>
                <c:pt idx="6">
                  <c:v>6246.06</c:v>
                </c:pt>
                <c:pt idx="7">
                  <c:v>4276.38</c:v>
                </c:pt>
                <c:pt idx="8">
                  <c:v>6052.94</c:v>
                </c:pt>
                <c:pt idx="9">
                  <c:v>5996.37</c:v>
                </c:pt>
                <c:pt idx="10">
                  <c:v>7334.1269841269841</c:v>
                </c:pt>
                <c:pt idx="11">
                  <c:v>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12-4266-BFAF-C77FB5751B6D}"/>
            </c:ext>
          </c:extLst>
        </c:ser>
        <c:ser>
          <c:idx val="6"/>
          <c:order val="6"/>
          <c:tx>
            <c:strRef>
              <c:f>'Leasing (Vehículos)'!$H$17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(Vehículos)'!$H$18:$H$29</c:f>
              <c:numCache>
                <c:formatCode>_-* #,##0_-;\-* #,##0_-;_-* "-"??_-;_-@_-</c:formatCode>
                <c:ptCount val="12"/>
                <c:pt idx="0">
                  <c:v>2078.3000000000002</c:v>
                </c:pt>
                <c:pt idx="1">
                  <c:v>2656.6000000000004</c:v>
                </c:pt>
                <c:pt idx="2">
                  <c:v>3664.7941241440249</c:v>
                </c:pt>
                <c:pt idx="3">
                  <c:v>4207.6000000000004</c:v>
                </c:pt>
                <c:pt idx="4">
                  <c:v>4630.8999999999996</c:v>
                </c:pt>
                <c:pt idx="5">
                  <c:v>4646.2</c:v>
                </c:pt>
                <c:pt idx="6">
                  <c:v>5301.95</c:v>
                </c:pt>
                <c:pt idx="7">
                  <c:v>2791.2799999999997</c:v>
                </c:pt>
                <c:pt idx="8">
                  <c:v>4576.67</c:v>
                </c:pt>
                <c:pt idx="9">
                  <c:v>4504.62</c:v>
                </c:pt>
                <c:pt idx="10">
                  <c:v>5750.149054155032</c:v>
                </c:pt>
                <c:pt idx="11">
                  <c:v>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2-4266-BFAF-C77FB5751B6D}"/>
            </c:ext>
          </c:extLst>
        </c:ser>
        <c:ser>
          <c:idx val="7"/>
          <c:order val="7"/>
          <c:tx>
            <c:strRef>
              <c:f>'Leasing (Vehículos)'!$I$17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(Vehículos)'!$I$18:$I$29</c:f>
              <c:numCache>
                <c:formatCode>_-* #,##0_-;\-* #,##0_-;_-* "-"??_-;_-@_-</c:formatCode>
                <c:ptCount val="12"/>
                <c:pt idx="0">
                  <c:v>14164</c:v>
                </c:pt>
                <c:pt idx="1">
                  <c:v>19758.500000000004</c:v>
                </c:pt>
                <c:pt idx="2">
                  <c:v>19539.620480409438</c:v>
                </c:pt>
                <c:pt idx="3">
                  <c:v>23288.599999999995</c:v>
                </c:pt>
                <c:pt idx="4">
                  <c:v>24784.5</c:v>
                </c:pt>
                <c:pt idx="5">
                  <c:v>23949.599999999999</c:v>
                </c:pt>
                <c:pt idx="6">
                  <c:v>26621.420000000006</c:v>
                </c:pt>
                <c:pt idx="7">
                  <c:v>16859.439999999999</c:v>
                </c:pt>
                <c:pt idx="8">
                  <c:v>22649.239999999994</c:v>
                </c:pt>
                <c:pt idx="9">
                  <c:v>16702.489999999998</c:v>
                </c:pt>
                <c:pt idx="10">
                  <c:v>17580.100772030524</c:v>
                </c:pt>
                <c:pt idx="11">
                  <c:v>18996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12-4266-BFAF-C77FB575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024016"/>
        <c:axId val="650994736"/>
      </c:barChart>
      <c:catAx>
        <c:axId val="6510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94736"/>
        <c:crosses val="autoZero"/>
        <c:auto val="1"/>
        <c:lblAlgn val="ctr"/>
        <c:lblOffset val="100"/>
        <c:noMultiLvlLbl val="0"/>
      </c:catAx>
      <c:valAx>
        <c:axId val="6509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0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Vehículos por países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'Leasing (Vehículos)'!$B$17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(Vehículos)'!$B$18:$B$29</c:f>
              <c:numCache>
                <c:formatCode>_-* #,##0_-;\-* #,##0_-;_-* "-"??_-;_-@_-</c:formatCode>
                <c:ptCount val="12"/>
                <c:pt idx="0">
                  <c:v>18199.8</c:v>
                </c:pt>
                <c:pt idx="1">
                  <c:v>22548.5</c:v>
                </c:pt>
                <c:pt idx="2">
                  <c:v>28090.241718889883</c:v>
                </c:pt>
                <c:pt idx="3">
                  <c:v>31376.799999999999</c:v>
                </c:pt>
                <c:pt idx="4">
                  <c:v>31979.200000000001</c:v>
                </c:pt>
                <c:pt idx="5">
                  <c:v>31798.799999999999</c:v>
                </c:pt>
                <c:pt idx="6">
                  <c:v>33401.050000000003</c:v>
                </c:pt>
                <c:pt idx="7">
                  <c:v>21707.82</c:v>
                </c:pt>
                <c:pt idx="8">
                  <c:v>30862.55</c:v>
                </c:pt>
                <c:pt idx="9">
                  <c:v>35453.68</c:v>
                </c:pt>
                <c:pt idx="10">
                  <c:v>36043.851286939942</c:v>
                </c:pt>
                <c:pt idx="11">
                  <c:v>37810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F-499E-825C-37FEF4967DA7}"/>
            </c:ext>
          </c:extLst>
        </c:ser>
        <c:ser>
          <c:idx val="1"/>
          <c:order val="1"/>
          <c:tx>
            <c:strRef>
              <c:f>'Leasing (Vehículos)'!$C$17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(Vehículos)'!$C$18:$C$29</c:f>
              <c:numCache>
                <c:formatCode>_-* #,##0_-;\-* #,##0_-;_-* "-"??_-;_-@_-</c:formatCode>
                <c:ptCount val="12"/>
                <c:pt idx="0">
                  <c:v>10715</c:v>
                </c:pt>
                <c:pt idx="1">
                  <c:v>11523.1</c:v>
                </c:pt>
                <c:pt idx="2">
                  <c:v>13879.861541021801</c:v>
                </c:pt>
                <c:pt idx="3">
                  <c:v>15524.1</c:v>
                </c:pt>
                <c:pt idx="4">
                  <c:v>16743.599999999999</c:v>
                </c:pt>
                <c:pt idx="5">
                  <c:v>19059.8</c:v>
                </c:pt>
                <c:pt idx="6">
                  <c:v>20614.05</c:v>
                </c:pt>
                <c:pt idx="7">
                  <c:v>15955</c:v>
                </c:pt>
                <c:pt idx="8">
                  <c:v>20257</c:v>
                </c:pt>
                <c:pt idx="9">
                  <c:v>19843</c:v>
                </c:pt>
                <c:pt idx="10">
                  <c:v>23759.43485521503</c:v>
                </c:pt>
                <c:pt idx="11">
                  <c:v>26213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F-499E-825C-37FEF4967DA7}"/>
            </c:ext>
          </c:extLst>
        </c:ser>
        <c:ser>
          <c:idx val="2"/>
          <c:order val="2"/>
          <c:tx>
            <c:strRef>
              <c:f>'Leasing (Vehículos)'!$D$17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(Vehículos)'!$D$18:$D$29</c:f>
              <c:numCache>
                <c:formatCode>_-* #,##0_-;\-* #,##0_-;_-* "-"??_-;_-@_-</c:formatCode>
                <c:ptCount val="12"/>
                <c:pt idx="0">
                  <c:v>14722</c:v>
                </c:pt>
                <c:pt idx="1">
                  <c:v>17300</c:v>
                </c:pt>
                <c:pt idx="2">
                  <c:v>13401.824461960854</c:v>
                </c:pt>
                <c:pt idx="3">
                  <c:v>15132</c:v>
                </c:pt>
                <c:pt idx="4">
                  <c:v>15132</c:v>
                </c:pt>
                <c:pt idx="5">
                  <c:v>13760</c:v>
                </c:pt>
                <c:pt idx="6">
                  <c:v>15728</c:v>
                </c:pt>
                <c:pt idx="7">
                  <c:v>6143</c:v>
                </c:pt>
                <c:pt idx="8">
                  <c:v>6576</c:v>
                </c:pt>
                <c:pt idx="9">
                  <c:v>15538</c:v>
                </c:pt>
                <c:pt idx="10">
                  <c:v>17533.394327538885</c:v>
                </c:pt>
                <c:pt idx="11">
                  <c:v>19164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F-499E-825C-37FEF4967DA7}"/>
            </c:ext>
          </c:extLst>
        </c:ser>
        <c:ser>
          <c:idx val="3"/>
          <c:order val="3"/>
          <c:tx>
            <c:strRef>
              <c:f>'Leasing (Vehículos)'!$E$17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(Vehículos)'!$E$18:$E$29</c:f>
              <c:numCache>
                <c:formatCode>_-* #,##0_-;\-* #,##0_-;_-* "-"??_-;_-@_-</c:formatCode>
                <c:ptCount val="12"/>
                <c:pt idx="0">
                  <c:v>2345</c:v>
                </c:pt>
                <c:pt idx="1">
                  <c:v>2546.0329999999999</c:v>
                </c:pt>
                <c:pt idx="2">
                  <c:v>2708.4359605911332</c:v>
                </c:pt>
                <c:pt idx="3">
                  <c:v>3518.8</c:v>
                </c:pt>
                <c:pt idx="4">
                  <c:v>3881</c:v>
                </c:pt>
                <c:pt idx="5">
                  <c:v>9150.1</c:v>
                </c:pt>
                <c:pt idx="6">
                  <c:v>7766.91</c:v>
                </c:pt>
                <c:pt idx="7">
                  <c:v>4929</c:v>
                </c:pt>
                <c:pt idx="8">
                  <c:v>7817</c:v>
                </c:pt>
                <c:pt idx="9">
                  <c:v>7906</c:v>
                </c:pt>
                <c:pt idx="10">
                  <c:v>11088.062622309197</c:v>
                </c:pt>
                <c:pt idx="11">
                  <c:v>11332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CF-499E-825C-37FEF4967DA7}"/>
            </c:ext>
          </c:extLst>
        </c:ser>
        <c:ser>
          <c:idx val="4"/>
          <c:order val="4"/>
          <c:tx>
            <c:strRef>
              <c:f>'Leasing (Vehículos)'!$F$17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(Vehículos)'!$F$18:$F$29</c:f>
              <c:numCache>
                <c:formatCode>_-* #,##0_-;\-* #,##0_-;_-* "-"??_-;_-@_-</c:formatCode>
                <c:ptCount val="12"/>
                <c:pt idx="0">
                  <c:v>4061.9</c:v>
                </c:pt>
                <c:pt idx="1">
                  <c:v>4166.8</c:v>
                </c:pt>
                <c:pt idx="2">
                  <c:v>4621.357602070635</c:v>
                </c:pt>
                <c:pt idx="3">
                  <c:v>5535</c:v>
                </c:pt>
                <c:pt idx="4">
                  <c:v>6214.4</c:v>
                </c:pt>
                <c:pt idx="5">
                  <c:v>4283.3</c:v>
                </c:pt>
                <c:pt idx="6">
                  <c:v>4932.12</c:v>
                </c:pt>
                <c:pt idx="7">
                  <c:v>4464.53</c:v>
                </c:pt>
                <c:pt idx="8">
                  <c:v>6580.051247983296</c:v>
                </c:pt>
                <c:pt idx="9">
                  <c:v>6933.4</c:v>
                </c:pt>
                <c:pt idx="10">
                  <c:v>6358.9743589743584</c:v>
                </c:pt>
                <c:pt idx="11">
                  <c:v>6944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CF-499E-825C-37FEF4967DA7}"/>
            </c:ext>
          </c:extLst>
        </c:ser>
        <c:ser>
          <c:idx val="5"/>
          <c:order val="5"/>
          <c:tx>
            <c:strRef>
              <c:f>'Leasing (Vehículos)'!$G$17</c:f>
              <c:strCache>
                <c:ptCount val="1"/>
                <c:pt idx="0">
                  <c:v>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(Vehículos)'!$G$18:$G$29</c:f>
              <c:numCache>
                <c:formatCode>_-* #,##0_-;\-* #,##0_-;_-* "-"??_-;_-@_-</c:formatCode>
                <c:ptCount val="12"/>
                <c:pt idx="0">
                  <c:v>2262.5</c:v>
                </c:pt>
                <c:pt idx="1">
                  <c:v>3193.3</c:v>
                </c:pt>
                <c:pt idx="2">
                  <c:v>3352.9282092732751</c:v>
                </c:pt>
                <c:pt idx="3">
                  <c:v>4563</c:v>
                </c:pt>
                <c:pt idx="4">
                  <c:v>5132.1000000000004</c:v>
                </c:pt>
                <c:pt idx="5">
                  <c:v>6448.3</c:v>
                </c:pt>
                <c:pt idx="6">
                  <c:v>6246.06</c:v>
                </c:pt>
                <c:pt idx="7">
                  <c:v>4276.38</c:v>
                </c:pt>
                <c:pt idx="8">
                  <c:v>6052.94</c:v>
                </c:pt>
                <c:pt idx="9">
                  <c:v>5996.37</c:v>
                </c:pt>
                <c:pt idx="10">
                  <c:v>7334.1269841269841</c:v>
                </c:pt>
                <c:pt idx="11">
                  <c:v>9241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CF-499E-825C-37FEF4967DA7}"/>
            </c:ext>
          </c:extLst>
        </c:ser>
        <c:ser>
          <c:idx val="6"/>
          <c:order val="6"/>
          <c:tx>
            <c:strRef>
              <c:f>'Leasing (Vehículos)'!$H$17</c:f>
              <c:strCache>
                <c:ptCount val="1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(Vehículos)'!$H$18:$H$29</c:f>
              <c:numCache>
                <c:formatCode>_-* #,##0_-;\-* #,##0_-;_-* "-"??_-;_-@_-</c:formatCode>
                <c:ptCount val="12"/>
                <c:pt idx="0">
                  <c:v>2078.3000000000002</c:v>
                </c:pt>
                <c:pt idx="1">
                  <c:v>2656.6000000000004</c:v>
                </c:pt>
                <c:pt idx="2">
                  <c:v>3664.7941241440249</c:v>
                </c:pt>
                <c:pt idx="3">
                  <c:v>4207.6000000000004</c:v>
                </c:pt>
                <c:pt idx="4">
                  <c:v>4630.8999999999996</c:v>
                </c:pt>
                <c:pt idx="5">
                  <c:v>4646.2</c:v>
                </c:pt>
                <c:pt idx="6">
                  <c:v>5301.95</c:v>
                </c:pt>
                <c:pt idx="7">
                  <c:v>2791.2799999999997</c:v>
                </c:pt>
                <c:pt idx="8">
                  <c:v>4576.67</c:v>
                </c:pt>
                <c:pt idx="9">
                  <c:v>4504.62</c:v>
                </c:pt>
                <c:pt idx="10">
                  <c:v>5750.149054155032</c:v>
                </c:pt>
                <c:pt idx="11">
                  <c:v>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CF-499E-825C-37FEF4967DA7}"/>
            </c:ext>
          </c:extLst>
        </c:ser>
        <c:ser>
          <c:idx val="7"/>
          <c:order val="7"/>
          <c:tx>
            <c:strRef>
              <c:f>'Leasing (Vehículos)'!$I$17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(Vehículos)'!$I$18:$I$29</c:f>
              <c:numCache>
                <c:formatCode>_-* #,##0_-;\-* #,##0_-;_-* "-"??_-;_-@_-</c:formatCode>
                <c:ptCount val="12"/>
                <c:pt idx="0">
                  <c:v>14164</c:v>
                </c:pt>
                <c:pt idx="1">
                  <c:v>19758.500000000004</c:v>
                </c:pt>
                <c:pt idx="2">
                  <c:v>19539.620480409438</c:v>
                </c:pt>
                <c:pt idx="3">
                  <c:v>23288.599999999995</c:v>
                </c:pt>
                <c:pt idx="4">
                  <c:v>24784.5</c:v>
                </c:pt>
                <c:pt idx="5">
                  <c:v>23949.599999999999</c:v>
                </c:pt>
                <c:pt idx="6">
                  <c:v>26621.420000000006</c:v>
                </c:pt>
                <c:pt idx="7">
                  <c:v>16859.439999999999</c:v>
                </c:pt>
                <c:pt idx="8">
                  <c:v>22649.239999999994</c:v>
                </c:pt>
                <c:pt idx="9">
                  <c:v>16702.489999999998</c:v>
                </c:pt>
                <c:pt idx="10">
                  <c:v>17580.100772030524</c:v>
                </c:pt>
                <c:pt idx="11">
                  <c:v>18996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CF-499E-825C-37FEF4967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024016"/>
        <c:axId val="650994736"/>
      </c:lineChart>
      <c:catAx>
        <c:axId val="6510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94736"/>
        <c:crosses val="autoZero"/>
        <c:auto val="1"/>
        <c:lblAlgn val="ctr"/>
        <c:lblOffset val="100"/>
        <c:noMultiLvlLbl val="0"/>
      </c:catAx>
      <c:valAx>
        <c:axId val="6509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0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Vehículos por países </a:t>
            </a:r>
          </a:p>
        </c:rich>
      </c:tx>
      <c:layout>
        <c:manualLayout>
          <c:xMode val="edge"/>
          <c:yMode val="edge"/>
          <c:x val="0.257929115673473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'Leasing (Vehículos)'!$B$17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(Vehículos)'!$B$18:$B$29</c:f>
              <c:numCache>
                <c:formatCode>_-* #,##0_-;\-* #,##0_-;_-* "-"??_-;_-@_-</c:formatCode>
                <c:ptCount val="12"/>
                <c:pt idx="0">
                  <c:v>18199.8</c:v>
                </c:pt>
                <c:pt idx="1">
                  <c:v>22548.5</c:v>
                </c:pt>
                <c:pt idx="2">
                  <c:v>28090.241718889883</c:v>
                </c:pt>
                <c:pt idx="3">
                  <c:v>31376.799999999999</c:v>
                </c:pt>
                <c:pt idx="4">
                  <c:v>31979.200000000001</c:v>
                </c:pt>
                <c:pt idx="5">
                  <c:v>31798.799999999999</c:v>
                </c:pt>
                <c:pt idx="6">
                  <c:v>33401.050000000003</c:v>
                </c:pt>
                <c:pt idx="7">
                  <c:v>21707.82</c:v>
                </c:pt>
                <c:pt idx="8">
                  <c:v>30862.55</c:v>
                </c:pt>
                <c:pt idx="9">
                  <c:v>35453.68</c:v>
                </c:pt>
                <c:pt idx="10">
                  <c:v>36043.851286939942</c:v>
                </c:pt>
                <c:pt idx="11">
                  <c:v>37810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F-4E13-9B4C-BCBDA8C77A81}"/>
            </c:ext>
          </c:extLst>
        </c:ser>
        <c:ser>
          <c:idx val="1"/>
          <c:order val="1"/>
          <c:tx>
            <c:strRef>
              <c:f>'Leasing (Vehículos)'!$C$17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(Vehículos)'!$C$18:$C$29</c:f>
              <c:numCache>
                <c:formatCode>_-* #,##0_-;\-* #,##0_-;_-* "-"??_-;_-@_-</c:formatCode>
                <c:ptCount val="12"/>
                <c:pt idx="0">
                  <c:v>10715</c:v>
                </c:pt>
                <c:pt idx="1">
                  <c:v>11523.1</c:v>
                </c:pt>
                <c:pt idx="2">
                  <c:v>13879.861541021801</c:v>
                </c:pt>
                <c:pt idx="3">
                  <c:v>15524.1</c:v>
                </c:pt>
                <c:pt idx="4">
                  <c:v>16743.599999999999</c:v>
                </c:pt>
                <c:pt idx="5">
                  <c:v>19059.8</c:v>
                </c:pt>
                <c:pt idx="6">
                  <c:v>20614.05</c:v>
                </c:pt>
                <c:pt idx="7">
                  <c:v>15955</c:v>
                </c:pt>
                <c:pt idx="8">
                  <c:v>20257</c:v>
                </c:pt>
                <c:pt idx="9">
                  <c:v>19843</c:v>
                </c:pt>
                <c:pt idx="10">
                  <c:v>23759.43485521503</c:v>
                </c:pt>
                <c:pt idx="11">
                  <c:v>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F-4E13-9B4C-BCBDA8C77A81}"/>
            </c:ext>
          </c:extLst>
        </c:ser>
        <c:ser>
          <c:idx val="2"/>
          <c:order val="2"/>
          <c:tx>
            <c:strRef>
              <c:f>'Leasing (Vehículos)'!$D$17</c:f>
              <c:strCache>
                <c:ptCount val="1"/>
                <c:pt idx="0">
                  <c:v>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(Vehículos)'!$D$18:$D$29</c:f>
              <c:numCache>
                <c:formatCode>_-* #,##0_-;\-* #,##0_-;_-* "-"??_-;_-@_-</c:formatCode>
                <c:ptCount val="12"/>
                <c:pt idx="0">
                  <c:v>14722</c:v>
                </c:pt>
                <c:pt idx="1">
                  <c:v>17300</c:v>
                </c:pt>
                <c:pt idx="2">
                  <c:v>13401.824461960854</c:v>
                </c:pt>
                <c:pt idx="3">
                  <c:v>15132</c:v>
                </c:pt>
                <c:pt idx="4">
                  <c:v>15132</c:v>
                </c:pt>
                <c:pt idx="5">
                  <c:v>13760</c:v>
                </c:pt>
                <c:pt idx="6">
                  <c:v>15728</c:v>
                </c:pt>
                <c:pt idx="7">
                  <c:v>6143</c:v>
                </c:pt>
                <c:pt idx="8">
                  <c:v>6576</c:v>
                </c:pt>
                <c:pt idx="9">
                  <c:v>15538</c:v>
                </c:pt>
                <c:pt idx="10">
                  <c:v>17533.394327538885</c:v>
                </c:pt>
                <c:pt idx="11">
                  <c:v>19164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F-4E13-9B4C-BCBDA8C77A81}"/>
            </c:ext>
          </c:extLst>
        </c:ser>
        <c:ser>
          <c:idx val="3"/>
          <c:order val="3"/>
          <c:tx>
            <c:strRef>
              <c:f>'Leasing (Vehículos)'!$E$17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(Vehículos)'!$E$18:$E$29</c:f>
              <c:numCache>
                <c:formatCode>_-* #,##0_-;\-* #,##0_-;_-* "-"??_-;_-@_-</c:formatCode>
                <c:ptCount val="12"/>
                <c:pt idx="0">
                  <c:v>2345</c:v>
                </c:pt>
                <c:pt idx="1">
                  <c:v>2546.0329999999999</c:v>
                </c:pt>
                <c:pt idx="2">
                  <c:v>2708.4359605911332</c:v>
                </c:pt>
                <c:pt idx="3">
                  <c:v>3518.8</c:v>
                </c:pt>
                <c:pt idx="4">
                  <c:v>3881</c:v>
                </c:pt>
                <c:pt idx="5">
                  <c:v>9150.1</c:v>
                </c:pt>
                <c:pt idx="6">
                  <c:v>7766.91</c:v>
                </c:pt>
                <c:pt idx="7">
                  <c:v>4929</c:v>
                </c:pt>
                <c:pt idx="8">
                  <c:v>7817</c:v>
                </c:pt>
                <c:pt idx="9">
                  <c:v>7906</c:v>
                </c:pt>
                <c:pt idx="10">
                  <c:v>11088.062622309197</c:v>
                </c:pt>
                <c:pt idx="11">
                  <c:v>11332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8F-4E13-9B4C-BCBDA8C77A81}"/>
            </c:ext>
          </c:extLst>
        </c:ser>
        <c:ser>
          <c:idx val="4"/>
          <c:order val="4"/>
          <c:tx>
            <c:strRef>
              <c:f>'Leasing (Vehículos)'!$F$17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(Vehículos)'!$F$18:$F$29</c:f>
              <c:numCache>
                <c:formatCode>_-* #,##0_-;\-* #,##0_-;_-* "-"??_-;_-@_-</c:formatCode>
                <c:ptCount val="12"/>
                <c:pt idx="0">
                  <c:v>4061.9</c:v>
                </c:pt>
                <c:pt idx="1">
                  <c:v>4166.8</c:v>
                </c:pt>
                <c:pt idx="2">
                  <c:v>4621.357602070635</c:v>
                </c:pt>
                <c:pt idx="3">
                  <c:v>5535</c:v>
                </c:pt>
                <c:pt idx="4">
                  <c:v>6214.4</c:v>
                </c:pt>
                <c:pt idx="5">
                  <c:v>4283.3</c:v>
                </c:pt>
                <c:pt idx="6">
                  <c:v>4932.12</c:v>
                </c:pt>
                <c:pt idx="7">
                  <c:v>4464.53</c:v>
                </c:pt>
                <c:pt idx="8">
                  <c:v>6580.051247983296</c:v>
                </c:pt>
                <c:pt idx="9">
                  <c:v>6933.4</c:v>
                </c:pt>
                <c:pt idx="10">
                  <c:v>6358.9743589743584</c:v>
                </c:pt>
                <c:pt idx="11">
                  <c:v>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8F-4E13-9B4C-BCBDA8C77A81}"/>
            </c:ext>
          </c:extLst>
        </c:ser>
        <c:ser>
          <c:idx val="5"/>
          <c:order val="5"/>
          <c:tx>
            <c:strRef>
              <c:f>'Leasing (Vehículos)'!$G$17</c:f>
              <c:strCache>
                <c:ptCount val="1"/>
                <c:pt idx="0">
                  <c:v>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(Vehículos)'!$G$18:$G$29</c:f>
              <c:numCache>
                <c:formatCode>_-* #,##0_-;\-* #,##0_-;_-* "-"??_-;_-@_-</c:formatCode>
                <c:ptCount val="12"/>
                <c:pt idx="0">
                  <c:v>2262.5</c:v>
                </c:pt>
                <c:pt idx="1">
                  <c:v>3193.3</c:v>
                </c:pt>
                <c:pt idx="2">
                  <c:v>3352.9282092732751</c:v>
                </c:pt>
                <c:pt idx="3">
                  <c:v>4563</c:v>
                </c:pt>
                <c:pt idx="4">
                  <c:v>5132.1000000000004</c:v>
                </c:pt>
                <c:pt idx="5">
                  <c:v>6448.3</c:v>
                </c:pt>
                <c:pt idx="6">
                  <c:v>6246.06</c:v>
                </c:pt>
                <c:pt idx="7">
                  <c:v>4276.38</c:v>
                </c:pt>
                <c:pt idx="8">
                  <c:v>6052.94</c:v>
                </c:pt>
                <c:pt idx="9">
                  <c:v>5996.37</c:v>
                </c:pt>
                <c:pt idx="10">
                  <c:v>7334.1269841269841</c:v>
                </c:pt>
                <c:pt idx="11">
                  <c:v>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8F-4E13-9B4C-BCBDA8C77A81}"/>
            </c:ext>
          </c:extLst>
        </c:ser>
        <c:ser>
          <c:idx val="6"/>
          <c:order val="6"/>
          <c:tx>
            <c:strRef>
              <c:f>'Leasing (Vehículos)'!$H$17</c:f>
              <c:strCache>
                <c:ptCount val="1"/>
                <c:pt idx="0">
                  <c:v>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(Vehículos)'!$H$18:$H$29</c:f>
              <c:numCache>
                <c:formatCode>_-* #,##0_-;\-* #,##0_-;_-* "-"??_-;_-@_-</c:formatCode>
                <c:ptCount val="12"/>
                <c:pt idx="0">
                  <c:v>2078.3000000000002</c:v>
                </c:pt>
                <c:pt idx="1">
                  <c:v>2656.6000000000004</c:v>
                </c:pt>
                <c:pt idx="2">
                  <c:v>3664.7941241440249</c:v>
                </c:pt>
                <c:pt idx="3">
                  <c:v>4207.6000000000004</c:v>
                </c:pt>
                <c:pt idx="4">
                  <c:v>4630.8999999999996</c:v>
                </c:pt>
                <c:pt idx="5">
                  <c:v>4646.2</c:v>
                </c:pt>
                <c:pt idx="6">
                  <c:v>5301.95</c:v>
                </c:pt>
                <c:pt idx="7">
                  <c:v>2791.2799999999997</c:v>
                </c:pt>
                <c:pt idx="8">
                  <c:v>4576.67</c:v>
                </c:pt>
                <c:pt idx="9">
                  <c:v>4504.62</c:v>
                </c:pt>
                <c:pt idx="10">
                  <c:v>5750.149054155032</c:v>
                </c:pt>
                <c:pt idx="11">
                  <c:v>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8F-4E13-9B4C-BCBDA8C77A81}"/>
            </c:ext>
          </c:extLst>
        </c:ser>
        <c:ser>
          <c:idx val="7"/>
          <c:order val="7"/>
          <c:tx>
            <c:strRef>
              <c:f>'Leasing (Vehículos)'!$I$17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'Leasing (Vehículos)'!$A$18:$A$29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'Leasing (Vehículos)'!$I$18:$I$29</c:f>
              <c:numCache>
                <c:formatCode>_-* #,##0_-;\-* #,##0_-;_-* "-"??_-;_-@_-</c:formatCode>
                <c:ptCount val="12"/>
                <c:pt idx="0">
                  <c:v>14164</c:v>
                </c:pt>
                <c:pt idx="1">
                  <c:v>19758.500000000004</c:v>
                </c:pt>
                <c:pt idx="2">
                  <c:v>19539.620480409438</c:v>
                </c:pt>
                <c:pt idx="3">
                  <c:v>23288.599999999995</c:v>
                </c:pt>
                <c:pt idx="4">
                  <c:v>24784.5</c:v>
                </c:pt>
                <c:pt idx="5">
                  <c:v>23949.599999999999</c:v>
                </c:pt>
                <c:pt idx="6">
                  <c:v>26621.420000000006</c:v>
                </c:pt>
                <c:pt idx="7">
                  <c:v>16859.439999999999</c:v>
                </c:pt>
                <c:pt idx="8">
                  <c:v>22649.239999999994</c:v>
                </c:pt>
                <c:pt idx="9">
                  <c:v>16702.489999999998</c:v>
                </c:pt>
                <c:pt idx="10">
                  <c:v>17580.100772030524</c:v>
                </c:pt>
                <c:pt idx="11">
                  <c:v>18996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8F-4E13-9B4C-BCBDA8C77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024016"/>
        <c:axId val="650994736"/>
      </c:barChart>
      <c:catAx>
        <c:axId val="6510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94736"/>
        <c:crosses val="autoZero"/>
        <c:auto val="1"/>
        <c:lblAlgn val="ctr"/>
        <c:lblOffset val="100"/>
        <c:noMultiLvlLbl val="0"/>
      </c:catAx>
      <c:valAx>
        <c:axId val="6509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0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Crecimiento leasing</a:t>
            </a:r>
            <a:r>
              <a:rPr lang="es-ES" baseline="0"/>
              <a:t> por país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'Leasing (Vehículos)'!$B$34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(Vehículos)'!$B$35:$B$45</c:f>
              <c:numCache>
                <c:formatCode>0%</c:formatCode>
                <c:ptCount val="11"/>
                <c:pt idx="0">
                  <c:v>0.23894218617787014</c:v>
                </c:pt>
                <c:pt idx="1">
                  <c:v>0.24576986136061749</c:v>
                </c:pt>
                <c:pt idx="2">
                  <c:v>0.11699999999999998</c:v>
                </c:pt>
                <c:pt idx="3">
                  <c:v>1.9198898549246623E-2</c:v>
                </c:pt>
                <c:pt idx="4">
                  <c:v>-5.6411667583930007E-3</c:v>
                </c:pt>
                <c:pt idx="5">
                  <c:v>5.0387121526598605E-2</c:v>
                </c:pt>
                <c:pt idx="6">
                  <c:v>-0.35008570089862451</c:v>
                </c:pt>
                <c:pt idx="7">
                  <c:v>0.42172498205715725</c:v>
                </c:pt>
                <c:pt idx="8">
                  <c:v>0.14876055283831055</c:v>
                </c:pt>
                <c:pt idx="9">
                  <c:v>1.6646263150678339E-2</c:v>
                </c:pt>
                <c:pt idx="10">
                  <c:v>4.9000000000000023E-2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7-45DC-AD55-ECBC792E2630}"/>
            </c:ext>
          </c:extLst>
        </c:ser>
        <c:ser>
          <c:idx val="1"/>
          <c:order val="1"/>
          <c:tx>
            <c:strRef>
              <c:f>'Leasing (Vehículos)'!$C$34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(Vehículos)'!$C$35:$C$45</c:f>
              <c:numCache>
                <c:formatCode>0%</c:formatCode>
                <c:ptCount val="11"/>
                <c:pt idx="0">
                  <c:v>7.5417638824078426E-2</c:v>
                </c:pt>
                <c:pt idx="1">
                  <c:v>0.20452495778235028</c:v>
                </c:pt>
                <c:pt idx="2">
                  <c:v>0.11846216578736525</c:v>
                </c:pt>
                <c:pt idx="3">
                  <c:v>7.8555278566873318E-2</c:v>
                </c:pt>
                <c:pt idx="4">
                  <c:v>0.13833345278195852</c:v>
                </c:pt>
                <c:pt idx="5">
                  <c:v>8.1545976348125382E-2</c:v>
                </c:pt>
                <c:pt idx="6">
                  <c:v>-0.22601332586270043</c:v>
                </c:pt>
                <c:pt idx="7">
                  <c:v>0.26963334377937953</c:v>
                </c:pt>
                <c:pt idx="8">
                  <c:v>-2.0437379671224762E-2</c:v>
                </c:pt>
                <c:pt idx="9">
                  <c:v>0.19737110594239932</c:v>
                </c:pt>
                <c:pt idx="10">
                  <c:v>0.1032669825581491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7-45DC-AD55-ECBC792E2630}"/>
            </c:ext>
          </c:extLst>
        </c:ser>
        <c:ser>
          <c:idx val="2"/>
          <c:order val="2"/>
          <c:tx>
            <c:strRef>
              <c:f>'Leasing (Vehículos)'!$D$34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(Vehículos)'!$D$35:$D$45</c:f>
              <c:numCache>
                <c:formatCode>0%</c:formatCode>
                <c:ptCount val="11"/>
                <c:pt idx="0">
                  <c:v>0.17511207716342889</c:v>
                </c:pt>
                <c:pt idx="1">
                  <c:v>-0.22532806578260958</c:v>
                </c:pt>
                <c:pt idx="2">
                  <c:v>0.12909999999999999</c:v>
                </c:pt>
                <c:pt idx="3">
                  <c:v>0</c:v>
                </c:pt>
                <c:pt idx="4">
                  <c:v>-9.0668781390430872E-2</c:v>
                </c:pt>
                <c:pt idx="5">
                  <c:v>0.14302325581395348</c:v>
                </c:pt>
                <c:pt idx="6">
                  <c:v>-0.60942268565615465</c:v>
                </c:pt>
                <c:pt idx="7">
                  <c:v>7.0486732866677518E-2</c:v>
                </c:pt>
                <c:pt idx="8">
                  <c:v>1.3628345498783454</c:v>
                </c:pt>
                <c:pt idx="9">
                  <c:v>0.1284202810875843</c:v>
                </c:pt>
                <c:pt idx="10">
                  <c:v>9.2999999999999944E-2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7-45DC-AD55-ECBC792E2630}"/>
            </c:ext>
          </c:extLst>
        </c:ser>
        <c:ser>
          <c:idx val="3"/>
          <c:order val="3"/>
          <c:tx>
            <c:strRef>
              <c:f>'Leasing (Vehículos)'!$E$34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(Vehículos)'!$E$35:$E$45</c:f>
              <c:numCache>
                <c:formatCode>0%</c:formatCode>
                <c:ptCount val="11"/>
                <c:pt idx="0">
                  <c:v>8.5728358208955177E-2</c:v>
                </c:pt>
                <c:pt idx="1">
                  <c:v>6.378666756916869E-2</c:v>
                </c:pt>
                <c:pt idx="2">
                  <c:v>0.29920000000000002</c:v>
                </c:pt>
                <c:pt idx="3">
                  <c:v>0.1029328180061384</c:v>
                </c:pt>
                <c:pt idx="4">
                  <c:v>1.3576655501159496</c:v>
                </c:pt>
                <c:pt idx="5">
                  <c:v>-0.1511666539163507</c:v>
                </c:pt>
                <c:pt idx="6">
                  <c:v>-0.36538468966422938</c:v>
                </c:pt>
                <c:pt idx="7">
                  <c:v>0.58592006492189086</c:v>
                </c:pt>
                <c:pt idx="8">
                  <c:v>1.1385441985416401E-2</c:v>
                </c:pt>
                <c:pt idx="9">
                  <c:v>0.4024870506335943</c:v>
                </c:pt>
                <c:pt idx="10">
                  <c:v>2.2000000000000085E-2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97-45DC-AD55-ECBC792E2630}"/>
            </c:ext>
          </c:extLst>
        </c:ser>
        <c:ser>
          <c:idx val="4"/>
          <c:order val="4"/>
          <c:tx>
            <c:strRef>
              <c:f>'Leasing (Vehículos)'!$F$34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(Vehículos)'!$F$35:$F$45</c:f>
              <c:numCache>
                <c:formatCode>0%</c:formatCode>
                <c:ptCount val="11"/>
                <c:pt idx="0">
                  <c:v>2.5825352667470911E-2</c:v>
                </c:pt>
                <c:pt idx="1">
                  <c:v>0.10909033360627696</c:v>
                </c:pt>
                <c:pt idx="2">
                  <c:v>0.1977000000000001</c:v>
                </c:pt>
                <c:pt idx="3">
                  <c:v>0.12274616079494122</c:v>
                </c:pt>
                <c:pt idx="4">
                  <c:v>-0.31074600926879498</c:v>
                </c:pt>
                <c:pt idx="5">
                  <c:v>0.15147666518805586</c:v>
                </c:pt>
                <c:pt idx="6">
                  <c:v>-9.4805073680283555E-2</c:v>
                </c:pt>
                <c:pt idx="7">
                  <c:v>0.47385083043081722</c:v>
                </c:pt>
                <c:pt idx="8">
                  <c:v>5.3700000000000102E-2</c:v>
                </c:pt>
                <c:pt idx="9">
                  <c:v>-8.2849055445472816E-2</c:v>
                </c:pt>
                <c:pt idx="10">
                  <c:v>9.2000000000000096E-2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97-45DC-AD55-ECBC792E2630}"/>
            </c:ext>
          </c:extLst>
        </c:ser>
        <c:ser>
          <c:idx val="5"/>
          <c:order val="5"/>
          <c:tx>
            <c:strRef>
              <c:f>'Leasing (Vehículos)'!$G$34</c:f>
              <c:strCache>
                <c:ptCount val="1"/>
                <c:pt idx="0">
                  <c:v>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(Vehículos)'!$G$35:$G$45</c:f>
              <c:numCache>
                <c:formatCode>0%</c:formatCode>
                <c:ptCount val="11"/>
                <c:pt idx="0">
                  <c:v>0.41140331491712717</c:v>
                </c:pt>
                <c:pt idx="1">
                  <c:v>4.9988478775334272E-2</c:v>
                </c:pt>
                <c:pt idx="2">
                  <c:v>0.36089999999999994</c:v>
                </c:pt>
                <c:pt idx="3">
                  <c:v>0.12472057856673249</c:v>
                </c:pt>
                <c:pt idx="4">
                  <c:v>0.2564642154283821</c:v>
                </c:pt>
                <c:pt idx="5">
                  <c:v>-3.1363305057146809E-2</c:v>
                </c:pt>
                <c:pt idx="6">
                  <c:v>-0.31534759512396615</c:v>
                </c:pt>
                <c:pt idx="7">
                  <c:v>0.41543548515333051</c:v>
                </c:pt>
                <c:pt idx="8">
                  <c:v>-9.3458715929779102E-3</c:v>
                </c:pt>
                <c:pt idx="9">
                  <c:v>0.22309446950855005</c:v>
                </c:pt>
                <c:pt idx="1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97-45DC-AD55-ECBC792E2630}"/>
            </c:ext>
          </c:extLst>
        </c:ser>
        <c:ser>
          <c:idx val="6"/>
          <c:order val="6"/>
          <c:tx>
            <c:strRef>
              <c:f>'Leasing (Vehículos)'!$H$34</c:f>
              <c:strCache>
                <c:ptCount val="1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(Vehículos)'!$H$35:$H$45</c:f>
              <c:numCache>
                <c:formatCode>0%</c:formatCode>
                <c:ptCount val="11"/>
                <c:pt idx="0">
                  <c:v>0.27825626714141372</c:v>
                </c:pt>
                <c:pt idx="1">
                  <c:v>0.37950542955056249</c:v>
                </c:pt>
                <c:pt idx="2">
                  <c:v>0.14811360678623578</c:v>
                </c:pt>
                <c:pt idx="3">
                  <c:v>0.1006036695503373</c:v>
                </c:pt>
                <c:pt idx="4">
                  <c:v>3.3038934116478833E-3</c:v>
                </c:pt>
                <c:pt idx="5">
                  <c:v>0.14113684301149326</c:v>
                </c:pt>
                <c:pt idx="6">
                  <c:v>-0.47353709484246365</c:v>
                </c:pt>
                <c:pt idx="7">
                  <c:v>0.63963128027284988</c:v>
                </c:pt>
                <c:pt idx="8">
                  <c:v>-1.5742887295784967E-2</c:v>
                </c:pt>
                <c:pt idx="9">
                  <c:v>0.27650036055317256</c:v>
                </c:pt>
                <c:pt idx="10">
                  <c:v>0.13927481501827796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97-45DC-AD55-ECBC792E2630}"/>
            </c:ext>
          </c:extLst>
        </c:ser>
        <c:ser>
          <c:idx val="7"/>
          <c:order val="7"/>
          <c:tx>
            <c:strRef>
              <c:f>'Leasing (Vehículos)'!$I$34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'Leasing (Vehículos)'!$A$35:$A$45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'Leasing (Vehículos)'!$I$35:$I$45</c:f>
              <c:numCache>
                <c:formatCode>0%</c:formatCode>
                <c:ptCount val="11"/>
                <c:pt idx="0">
                  <c:v>0.39498023157300222</c:v>
                </c:pt>
                <c:pt idx="1">
                  <c:v>-1.1077739686239638E-2</c:v>
                </c:pt>
                <c:pt idx="2">
                  <c:v>0.19186552386466824</c:v>
                </c:pt>
                <c:pt idx="3">
                  <c:v>6.4233144113429119E-2</c:v>
                </c:pt>
                <c:pt idx="4">
                  <c:v>-3.3686376565998967E-2</c:v>
                </c:pt>
                <c:pt idx="5">
                  <c:v>0.1115601095634168</c:v>
                </c:pt>
                <c:pt idx="6">
                  <c:v>-0.36669644218828312</c:v>
                </c:pt>
                <c:pt idx="7">
                  <c:v>0.34341591417033995</c:v>
                </c:pt>
                <c:pt idx="8">
                  <c:v>-0.26255847878339394</c:v>
                </c:pt>
                <c:pt idx="9">
                  <c:v>5.2543708873977857E-2</c:v>
                </c:pt>
                <c:pt idx="10">
                  <c:v>8.0539881217412249E-2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97-45DC-AD55-ECBC792E2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297200"/>
        <c:axId val="748309680"/>
      </c:lineChart>
      <c:catAx>
        <c:axId val="74829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309680"/>
        <c:crosses val="autoZero"/>
        <c:auto val="1"/>
        <c:lblAlgn val="ctr"/>
        <c:lblOffset val="100"/>
        <c:noMultiLvlLbl val="0"/>
      </c:catAx>
      <c:valAx>
        <c:axId val="7483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2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Europa Leasing Vehículos por países (2024 S1)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3B-4E3B-B5E6-2F1D2B17D3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3B-4E3B-B5E6-2F1D2B17D3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B-4E3B-B5E6-2F1D2B17D3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93B-4E3B-B5E6-2F1D2B17D3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B-4E3B-B5E6-2F1D2B17D3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93B-4E3B-B5E6-2F1D2B17D3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B-4E3B-B5E6-2F1D2B17D3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93B-4E3B-B5E6-2F1D2B17D380}"/>
              </c:ext>
            </c:extLst>
          </c:dPt>
          <c:dLbls>
            <c:dLbl>
              <c:idx val="0"/>
              <c:layout>
                <c:manualLayout>
                  <c:x val="1.0104986876640419E-3"/>
                  <c:y val="2.108595800524934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3B-4E3B-B5E6-2F1D2B17D380}"/>
                </c:ext>
              </c:extLst>
            </c:dLbl>
            <c:dLbl>
              <c:idx val="1"/>
              <c:layout>
                <c:manualLayout>
                  <c:x val="-4.0394794400699912E-3"/>
                  <c:y val="-5.878171478565094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3B-4E3B-B5E6-2F1D2B17D380}"/>
                </c:ext>
              </c:extLst>
            </c:dLbl>
            <c:dLbl>
              <c:idx val="2"/>
              <c:layout>
                <c:manualLayout>
                  <c:x val="4.4728783902011739E-3"/>
                  <c:y val="-4.019028871391076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B-4E3B-B5E6-2F1D2B17D380}"/>
                </c:ext>
              </c:extLst>
            </c:dLbl>
            <c:dLbl>
              <c:idx val="3"/>
              <c:layout>
                <c:manualLayout>
                  <c:x val="4.2561242344706911E-3"/>
                  <c:y val="1.01844561096528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3B-4E3B-B5E6-2F1D2B17D380}"/>
                </c:ext>
              </c:extLst>
            </c:dLbl>
            <c:dLbl>
              <c:idx val="4"/>
              <c:layout>
                <c:manualLayout>
                  <c:x val="3.0247156605424323E-3"/>
                  <c:y val="1.31882473024205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B-4E3B-B5E6-2F1D2B17D380}"/>
                </c:ext>
              </c:extLst>
            </c:dLbl>
            <c:dLbl>
              <c:idx val="5"/>
              <c:layout>
                <c:manualLayout>
                  <c:x val="7.572178477690289E-3"/>
                  <c:y val="1.12164625255176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3B-4E3B-B5E6-2F1D2B17D380}"/>
                </c:ext>
              </c:extLst>
            </c:dLbl>
            <c:dLbl>
              <c:idx val="6"/>
              <c:layout>
                <c:manualLayout>
                  <c:x val="-4.8753280839895015E-4"/>
                  <c:y val="3.362459900845731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B-4E3B-B5E6-2F1D2B17D380}"/>
                </c:ext>
              </c:extLst>
            </c:dLbl>
            <c:dLbl>
              <c:idx val="7"/>
              <c:layout>
                <c:manualLayout>
                  <c:x val="-1.0435695538057742E-2"/>
                  <c:y val="2.12693205016039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3B-4E3B-B5E6-2F1D2B17D3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'Leasing (Vehículos)'!$B$17:$I$17</c:f>
              <c:strCache>
                <c:ptCount val="8"/>
                <c:pt idx="0">
                  <c:v>UK</c:v>
                </c:pt>
                <c:pt idx="1">
                  <c:v>FR</c:v>
                </c:pt>
                <c:pt idx="2">
                  <c:v>DE</c:v>
                </c:pt>
                <c:pt idx="3">
                  <c:v>IT</c:v>
                </c:pt>
                <c:pt idx="4">
                  <c:v>PL</c:v>
                </c:pt>
                <c:pt idx="5">
                  <c:v>SE</c:v>
                </c:pt>
                <c:pt idx="6">
                  <c:v>ES</c:v>
                </c:pt>
                <c:pt idx="7">
                  <c:v>OTHERS</c:v>
                </c:pt>
              </c:strCache>
            </c:strRef>
          </c:cat>
          <c:val>
            <c:numRef>
              <c:f>'Leasing (Vehículos)'!$B$30:$I$30</c:f>
              <c:numCache>
                <c:formatCode>0%</c:formatCode>
                <c:ptCount val="8"/>
                <c:pt idx="0">
                  <c:v>0.27750255043999678</c:v>
                </c:pt>
                <c:pt idx="1">
                  <c:v>0.19238757880676105</c:v>
                </c:pt>
                <c:pt idx="2">
                  <c:v>0.14065217869960586</c:v>
                </c:pt>
                <c:pt idx="3">
                  <c:v>8.3170031779583264E-2</c:v>
                </c:pt>
                <c:pt idx="4">
                  <c:v>5.0964763561368358E-2</c:v>
                </c:pt>
                <c:pt idx="5">
                  <c:v>6.7823355424914314E-2</c:v>
                </c:pt>
                <c:pt idx="6">
                  <c:v>4.80803810614234E-2</c:v>
                </c:pt>
                <c:pt idx="7">
                  <c:v>0.13941916022634696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B-4E3B-B5E6-2F1D2B17D3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Europa.xlsx]UK!TablaDinámica18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UK!$B$3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UK!$A$4:$A$16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UK!$B$4:$B$16</c:f>
              <c:numCache>
                <c:formatCode>_-* #,##0_-;\-* #,##0_-;_-* "-"??_-;_-@_-</c:formatCode>
                <c:ptCount val="12"/>
                <c:pt idx="0">
                  <c:v>4603.7</c:v>
                </c:pt>
                <c:pt idx="1">
                  <c:v>5303</c:v>
                </c:pt>
                <c:pt idx="2">
                  <c:v>6404.2264443582781</c:v>
                </c:pt>
                <c:pt idx="3">
                  <c:v>6606.6</c:v>
                </c:pt>
                <c:pt idx="4">
                  <c:v>7081.5</c:v>
                </c:pt>
                <c:pt idx="5">
                  <c:v>6698.2</c:v>
                </c:pt>
                <c:pt idx="6">
                  <c:v>7220.73</c:v>
                </c:pt>
                <c:pt idx="7">
                  <c:v>6909.01</c:v>
                </c:pt>
                <c:pt idx="8">
                  <c:v>7355.91</c:v>
                </c:pt>
                <c:pt idx="9">
                  <c:v>7878.86</c:v>
                </c:pt>
                <c:pt idx="10">
                  <c:v>7985.0597609561755</c:v>
                </c:pt>
                <c:pt idx="11">
                  <c:v>8017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8-4EA6-A2B2-51224CAF2ED7}"/>
            </c:ext>
          </c:extLst>
        </c:ser>
        <c:ser>
          <c:idx val="1"/>
          <c:order val="1"/>
          <c:tx>
            <c:strRef>
              <c:f>UK!$C$3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UK!$A$4:$A$16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UK!$C$4:$C$16</c:f>
              <c:numCache>
                <c:formatCode>_-* #,##0_-;\-* #,##0_-;_-* "-"??_-;_-@_-</c:formatCode>
                <c:ptCount val="12"/>
                <c:pt idx="0">
                  <c:v>18199.8</c:v>
                </c:pt>
                <c:pt idx="1">
                  <c:v>22548.5</c:v>
                </c:pt>
                <c:pt idx="2">
                  <c:v>28090.241718889883</c:v>
                </c:pt>
                <c:pt idx="3">
                  <c:v>31376.799999999999</c:v>
                </c:pt>
                <c:pt idx="4">
                  <c:v>31979.200000000001</c:v>
                </c:pt>
                <c:pt idx="5">
                  <c:v>31798.799999999999</c:v>
                </c:pt>
                <c:pt idx="6">
                  <c:v>33401.050000000003</c:v>
                </c:pt>
                <c:pt idx="7">
                  <c:v>21707.82</c:v>
                </c:pt>
                <c:pt idx="8">
                  <c:v>30862.55</c:v>
                </c:pt>
                <c:pt idx="9">
                  <c:v>35453.68</c:v>
                </c:pt>
                <c:pt idx="10">
                  <c:v>36043.851286939942</c:v>
                </c:pt>
                <c:pt idx="11">
                  <c:v>37810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8-4EA6-A2B2-51224CAF2ED7}"/>
            </c:ext>
          </c:extLst>
        </c:ser>
        <c:ser>
          <c:idx val="2"/>
          <c:order val="2"/>
          <c:tx>
            <c:strRef>
              <c:f>UK!$D$3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UK!$A$4:$A$16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UK!$D$4:$D$16</c:f>
              <c:numCache>
                <c:formatCode>_-* #,##0_-;\-* #,##0_-;_-* "-"??_-;_-@_-</c:formatCode>
                <c:ptCount val="12"/>
                <c:pt idx="0">
                  <c:v>168.1</c:v>
                </c:pt>
                <c:pt idx="1">
                  <c:v>246.5</c:v>
                </c:pt>
                <c:pt idx="2">
                  <c:v>254.12703283215711</c:v>
                </c:pt>
                <c:pt idx="3">
                  <c:v>414.1</c:v>
                </c:pt>
                <c:pt idx="4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F8-4EA6-A2B2-51224CAF2ED7}"/>
            </c:ext>
          </c:extLst>
        </c:ser>
        <c:ser>
          <c:idx val="3"/>
          <c:order val="3"/>
          <c:tx>
            <c:strRef>
              <c:f>UK!$E$3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UK!$A$4:$A$16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UK!$E$4:$E$16</c:f>
              <c:numCache>
                <c:formatCode>_-* #,##0_-;\-* #,##0_-;_-* "-"??_-;_-@_-</c:formatCode>
                <c:ptCount val="12"/>
                <c:pt idx="0">
                  <c:v>22971.599999999999</c:v>
                </c:pt>
                <c:pt idx="1">
                  <c:v>28098</c:v>
                </c:pt>
                <c:pt idx="2">
                  <c:v>34748.595196080314</c:v>
                </c:pt>
                <c:pt idx="3">
                  <c:v>38397.5</c:v>
                </c:pt>
                <c:pt idx="4">
                  <c:v>39060.699999999997</c:v>
                </c:pt>
                <c:pt idx="5">
                  <c:v>38497</c:v>
                </c:pt>
                <c:pt idx="6">
                  <c:v>40621.78</c:v>
                </c:pt>
                <c:pt idx="7">
                  <c:v>28616.83</c:v>
                </c:pt>
                <c:pt idx="8">
                  <c:v>38218.46</c:v>
                </c:pt>
                <c:pt idx="9">
                  <c:v>43332.54</c:v>
                </c:pt>
                <c:pt idx="10">
                  <c:v>44022.094140249763</c:v>
                </c:pt>
                <c:pt idx="11">
                  <c:v>45827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F8-4EA6-A2B2-51224CAF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UK!$A$21:$A$31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UK!$B$21:$B$31</c:f>
              <c:numCache>
                <c:formatCode>0.0%</c:formatCode>
                <c:ptCount val="11"/>
                <c:pt idx="0">
                  <c:v>0.23894218617787014</c:v>
                </c:pt>
                <c:pt idx="1">
                  <c:v>0.24576986136061749</c:v>
                </c:pt>
                <c:pt idx="2">
                  <c:v>0.11699999999999998</c:v>
                </c:pt>
                <c:pt idx="3">
                  <c:v>1.9198898549246623E-2</c:v>
                </c:pt>
                <c:pt idx="4">
                  <c:v>-5.6411667583930007E-3</c:v>
                </c:pt>
                <c:pt idx="5">
                  <c:v>5.0387121526598605E-2</c:v>
                </c:pt>
                <c:pt idx="6">
                  <c:v>-0.35008570089862451</c:v>
                </c:pt>
                <c:pt idx="7">
                  <c:v>0.42172498205715725</c:v>
                </c:pt>
                <c:pt idx="8">
                  <c:v>0.14876055283831055</c:v>
                </c:pt>
                <c:pt idx="9">
                  <c:v>1.6646263150678339E-2</c:v>
                </c:pt>
                <c:pt idx="10">
                  <c:v>4.9000000000000023E-2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D-413D-BB81-0B21C3F367D1}"/>
            </c:ext>
          </c:extLst>
        </c:ser>
        <c:ser>
          <c:idx val="1"/>
          <c:order val="1"/>
          <c:tx>
            <c:strRef>
              <c:f>UK!$C$20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UK!$A$21:$A$31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UK!$C$21:$C$31</c:f>
              <c:numCache>
                <c:formatCode>0.0%</c:formatCode>
                <c:ptCount val="11"/>
                <c:pt idx="0">
                  <c:v>0.2231625137125843</c:v>
                </c:pt>
                <c:pt idx="1">
                  <c:v>0.23669283209055142</c:v>
                </c:pt>
                <c:pt idx="2">
                  <c:v>0.10500869987202496</c:v>
                </c:pt>
                <c:pt idx="3">
                  <c:v>1.7271957809753165E-2</c:v>
                </c:pt>
                <c:pt idx="4">
                  <c:v>-1.4431384998220645E-2</c:v>
                </c:pt>
                <c:pt idx="5">
                  <c:v>5.5193391692859153E-2</c:v>
                </c:pt>
                <c:pt idx="6">
                  <c:v>-0.29552988569186278</c:v>
                </c:pt>
                <c:pt idx="7">
                  <c:v>0.33552388576931813</c:v>
                </c:pt>
                <c:pt idx="8">
                  <c:v>0.13381177577537143</c:v>
                </c:pt>
                <c:pt idx="9">
                  <c:v>1.5913079183674947E-2</c:v>
                </c:pt>
                <c:pt idx="10">
                  <c:v>4.0999999999999925E-2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D-413D-BB81-0B21C3F36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Europa.xlsx]FR!TablaDinámica18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FR!$B$3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FR!$B$4:$B$16</c:f>
              <c:numCache>
                <c:formatCode>_-* #,##0_-;\-* #,##0_-;_-* "-"??_-;_-@_-</c:formatCode>
                <c:ptCount val="12"/>
                <c:pt idx="0">
                  <c:v>5086</c:v>
                </c:pt>
                <c:pt idx="1">
                  <c:v>4957.8</c:v>
                </c:pt>
                <c:pt idx="2">
                  <c:v>5022.2068607966821</c:v>
                </c:pt>
                <c:pt idx="3">
                  <c:v>5812.2</c:v>
                </c:pt>
                <c:pt idx="4">
                  <c:v>6006.9</c:v>
                </c:pt>
                <c:pt idx="5">
                  <c:v>6351.7</c:v>
                </c:pt>
                <c:pt idx="6">
                  <c:v>6924.31</c:v>
                </c:pt>
                <c:pt idx="7">
                  <c:v>6141</c:v>
                </c:pt>
                <c:pt idx="8">
                  <c:v>6673</c:v>
                </c:pt>
                <c:pt idx="9">
                  <c:v>7315</c:v>
                </c:pt>
                <c:pt idx="10">
                  <c:v>8032.934131736527</c:v>
                </c:pt>
                <c:pt idx="11">
                  <c:v>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2-46F5-B4F9-7AD3C0664E25}"/>
            </c:ext>
          </c:extLst>
        </c:ser>
        <c:ser>
          <c:idx val="1"/>
          <c:order val="1"/>
          <c:tx>
            <c:strRef>
              <c:f>FR!$C$3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FR!$C$4:$C$16</c:f>
              <c:numCache>
                <c:formatCode>_-* #,##0_-;\-* #,##0_-;_-* "-"??_-;_-@_-</c:formatCode>
                <c:ptCount val="12"/>
                <c:pt idx="0">
                  <c:v>10715</c:v>
                </c:pt>
                <c:pt idx="1">
                  <c:v>11523.1</c:v>
                </c:pt>
                <c:pt idx="2">
                  <c:v>13879.861541021801</c:v>
                </c:pt>
                <c:pt idx="3">
                  <c:v>15524.1</c:v>
                </c:pt>
                <c:pt idx="4">
                  <c:v>16743.599999999999</c:v>
                </c:pt>
                <c:pt idx="5">
                  <c:v>19059.8</c:v>
                </c:pt>
                <c:pt idx="6">
                  <c:v>20614.05</c:v>
                </c:pt>
                <c:pt idx="7">
                  <c:v>15955</c:v>
                </c:pt>
                <c:pt idx="8">
                  <c:v>20257</c:v>
                </c:pt>
                <c:pt idx="9">
                  <c:v>19843</c:v>
                </c:pt>
                <c:pt idx="10">
                  <c:v>23759.43485521503</c:v>
                </c:pt>
                <c:pt idx="11">
                  <c:v>26213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2-46F5-B4F9-7AD3C0664E25}"/>
            </c:ext>
          </c:extLst>
        </c:ser>
        <c:ser>
          <c:idx val="2"/>
          <c:order val="2"/>
          <c:tx>
            <c:strRef>
              <c:f>FR!$D$3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FR!$A$4:$A$16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FR!$D$4:$D$16</c:f>
              <c:numCache>
                <c:formatCode>_-* #,##0_-;\-* #,##0_-;_-* "-"??_-;_-@_-</c:formatCode>
                <c:ptCount val="12"/>
                <c:pt idx="0">
                  <c:v>2174</c:v>
                </c:pt>
                <c:pt idx="1">
                  <c:v>2108.5</c:v>
                </c:pt>
                <c:pt idx="2">
                  <c:v>2058.9572023734377</c:v>
                </c:pt>
                <c:pt idx="3">
                  <c:v>1630.9</c:v>
                </c:pt>
                <c:pt idx="4">
                  <c:v>1739.1</c:v>
                </c:pt>
                <c:pt idx="5">
                  <c:v>1647.5</c:v>
                </c:pt>
                <c:pt idx="6">
                  <c:v>1937.94</c:v>
                </c:pt>
                <c:pt idx="7">
                  <c:v>1533</c:v>
                </c:pt>
                <c:pt idx="8">
                  <c:v>1889</c:v>
                </c:pt>
                <c:pt idx="9">
                  <c:v>2461</c:v>
                </c:pt>
                <c:pt idx="10">
                  <c:v>2123.6559139784945</c:v>
                </c:pt>
                <c:pt idx="11">
                  <c:v>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2-46F5-B4F9-7AD3C0664E25}"/>
            </c:ext>
          </c:extLst>
        </c:ser>
        <c:ser>
          <c:idx val="3"/>
          <c:order val="3"/>
          <c:tx>
            <c:strRef>
              <c:f>FR!$E$3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FR!$A$4:$A$16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FR!$E$4:$E$16</c:f>
              <c:numCache>
                <c:formatCode>_-* #,##0_-;\-* #,##0_-;_-* "-"??_-;_-@_-</c:formatCode>
                <c:ptCount val="12"/>
                <c:pt idx="0">
                  <c:v>17975</c:v>
                </c:pt>
                <c:pt idx="1">
                  <c:v>18589.400000000001</c:v>
                </c:pt>
                <c:pt idx="2">
                  <c:v>20961.02560419192</c:v>
                </c:pt>
                <c:pt idx="3">
                  <c:v>22967.200000000001</c:v>
                </c:pt>
                <c:pt idx="4">
                  <c:v>24489.599999999999</c:v>
                </c:pt>
                <c:pt idx="5">
                  <c:v>27059</c:v>
                </c:pt>
                <c:pt idx="6">
                  <c:v>29476.3</c:v>
                </c:pt>
                <c:pt idx="7">
                  <c:v>23629</c:v>
                </c:pt>
                <c:pt idx="8">
                  <c:v>28819</c:v>
                </c:pt>
                <c:pt idx="9">
                  <c:v>29619</c:v>
                </c:pt>
                <c:pt idx="10">
                  <c:v>33915.377836349384</c:v>
                </c:pt>
                <c:pt idx="11">
                  <c:v>35842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32-46F5-B4F9-7AD3C0664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FR!$B$21:$B$31</c:f>
              <c:numCache>
                <c:formatCode>0.0%</c:formatCode>
                <c:ptCount val="11"/>
                <c:pt idx="0">
                  <c:v>7.5417638824078426E-2</c:v>
                </c:pt>
                <c:pt idx="1">
                  <c:v>0.20452495778235028</c:v>
                </c:pt>
                <c:pt idx="2">
                  <c:v>0.11846216578736525</c:v>
                </c:pt>
                <c:pt idx="3">
                  <c:v>7.8555278566873318E-2</c:v>
                </c:pt>
                <c:pt idx="4">
                  <c:v>0.13833345278195852</c:v>
                </c:pt>
                <c:pt idx="5">
                  <c:v>8.1545976348125382E-2</c:v>
                </c:pt>
                <c:pt idx="6">
                  <c:v>-0.22601332586270043</c:v>
                </c:pt>
                <c:pt idx="7">
                  <c:v>0.26963334377937953</c:v>
                </c:pt>
                <c:pt idx="8">
                  <c:v>-2.0437379671224762E-2</c:v>
                </c:pt>
                <c:pt idx="9">
                  <c:v>0.19737110594239932</c:v>
                </c:pt>
                <c:pt idx="10">
                  <c:v>0.1032669825581491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B-44BC-BF38-BAFE1F74B7A5}"/>
            </c:ext>
          </c:extLst>
        </c:ser>
        <c:ser>
          <c:idx val="1"/>
          <c:order val="1"/>
          <c:tx>
            <c:strRef>
              <c:f>FR!$C$20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FR!$C$21:$C$31</c:f>
              <c:numCache>
                <c:formatCode>0.0%</c:formatCode>
                <c:ptCount val="11"/>
                <c:pt idx="0">
                  <c:v>3.4180806675938882E-2</c:v>
                </c:pt>
                <c:pt idx="1">
                  <c:v>0.12757945948723029</c:v>
                </c:pt>
                <c:pt idx="2">
                  <c:v>9.5709744059797958E-2</c:v>
                </c:pt>
                <c:pt idx="3">
                  <c:v>6.6285833710682959E-2</c:v>
                </c:pt>
                <c:pt idx="4">
                  <c:v>0.10491800601071481</c:v>
                </c:pt>
                <c:pt idx="5">
                  <c:v>8.9334417384234421E-2</c:v>
                </c:pt>
                <c:pt idx="6">
                  <c:v>-0.19837293011673784</c:v>
                </c:pt>
                <c:pt idx="7">
                  <c:v>0.21964535105167379</c:v>
                </c:pt>
                <c:pt idx="8">
                  <c:v>2.7759464242340121E-2</c:v>
                </c:pt>
                <c:pt idx="9">
                  <c:v>0.14505479038284155</c:v>
                </c:pt>
                <c:pt idx="10">
                  <c:v>5.6806743328854381E-2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B-44BC-BF38-BAFE1F74B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Europa.xlsx]DE!TablaDinámica18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DE!$B$4:$B$16</c:f>
              <c:numCache>
                <c:formatCode>_-* #,##0_-;\-* #,##0_-;_-* "-"??_-;_-@_-</c:formatCode>
                <c:ptCount val="12"/>
                <c:pt idx="0">
                  <c:v>5132</c:v>
                </c:pt>
                <c:pt idx="1">
                  <c:v>6200</c:v>
                </c:pt>
                <c:pt idx="2">
                  <c:v>9484.0723400348852</c:v>
                </c:pt>
                <c:pt idx="3">
                  <c:v>10331</c:v>
                </c:pt>
                <c:pt idx="4">
                  <c:v>10208</c:v>
                </c:pt>
                <c:pt idx="5">
                  <c:v>9908</c:v>
                </c:pt>
                <c:pt idx="6">
                  <c:v>10500</c:v>
                </c:pt>
                <c:pt idx="7">
                  <c:v>5769</c:v>
                </c:pt>
                <c:pt idx="8">
                  <c:v>5936</c:v>
                </c:pt>
                <c:pt idx="9">
                  <c:v>6292</c:v>
                </c:pt>
                <c:pt idx="10">
                  <c:v>12288.407163053724</c:v>
                </c:pt>
                <c:pt idx="11">
                  <c:v>13038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4-4F98-BE35-2BDF7828AA6F}"/>
            </c:ext>
          </c:extLst>
        </c:ser>
        <c:ser>
          <c:idx val="1"/>
          <c:order val="1"/>
          <c:tx>
            <c:strRef>
              <c:f>DE!$C$3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DE!$C$4:$C$16</c:f>
              <c:numCache>
                <c:formatCode>_-* #,##0_-;\-* #,##0_-;_-* "-"??_-;_-@_-</c:formatCode>
                <c:ptCount val="12"/>
                <c:pt idx="0">
                  <c:v>14722</c:v>
                </c:pt>
                <c:pt idx="1">
                  <c:v>17300</c:v>
                </c:pt>
                <c:pt idx="2">
                  <c:v>13401.824461960854</c:v>
                </c:pt>
                <c:pt idx="3">
                  <c:v>15132</c:v>
                </c:pt>
                <c:pt idx="4">
                  <c:v>15132</c:v>
                </c:pt>
                <c:pt idx="5">
                  <c:v>13760</c:v>
                </c:pt>
                <c:pt idx="6">
                  <c:v>15728</c:v>
                </c:pt>
                <c:pt idx="7">
                  <c:v>6143</c:v>
                </c:pt>
                <c:pt idx="8">
                  <c:v>6576</c:v>
                </c:pt>
                <c:pt idx="9">
                  <c:v>15538</c:v>
                </c:pt>
                <c:pt idx="10">
                  <c:v>17533.394327538885</c:v>
                </c:pt>
                <c:pt idx="11">
                  <c:v>19164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4-4F98-BE35-2BDF7828AA6F}"/>
            </c:ext>
          </c:extLst>
        </c:ser>
        <c:ser>
          <c:idx val="2"/>
          <c:order val="2"/>
          <c:tx>
            <c:strRef>
              <c:f>DE!$D$3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DE!$D$4:$D$16</c:f>
              <c:numCache>
                <c:formatCode>_-* #,##0_-;\-* #,##0_-;_-* "-"??_-;_-@_-</c:formatCode>
                <c:ptCount val="12"/>
                <c:pt idx="0">
                  <c:v>738</c:v>
                </c:pt>
                <c:pt idx="1">
                  <c:v>220</c:v>
                </c:pt>
                <c:pt idx="2">
                  <c:v>197.01008228068142</c:v>
                </c:pt>
                <c:pt idx="3">
                  <c:v>170</c:v>
                </c:pt>
                <c:pt idx="4">
                  <c:v>170</c:v>
                </c:pt>
                <c:pt idx="5">
                  <c:v>304</c:v>
                </c:pt>
                <c:pt idx="6">
                  <c:v>590</c:v>
                </c:pt>
                <c:pt idx="7">
                  <c:v>112</c:v>
                </c:pt>
                <c:pt idx="8">
                  <c:v>744</c:v>
                </c:pt>
                <c:pt idx="9">
                  <c:v>380</c:v>
                </c:pt>
                <c:pt idx="10">
                  <c:v>247.99081515499427</c:v>
                </c:pt>
                <c:pt idx="11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4-4F98-BE35-2BDF7828AA6F}"/>
            </c:ext>
          </c:extLst>
        </c:ser>
        <c:ser>
          <c:idx val="3"/>
          <c:order val="3"/>
          <c:tx>
            <c:strRef>
              <c:f>DE!$E$3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DE!$E$4:$E$16</c:f>
              <c:numCache>
                <c:formatCode>_-* #,##0_-;\-* #,##0_-;_-* "-"??_-;_-@_-</c:formatCode>
                <c:ptCount val="12"/>
                <c:pt idx="0">
                  <c:v>20592</c:v>
                </c:pt>
                <c:pt idx="1">
                  <c:v>23720</c:v>
                </c:pt>
                <c:pt idx="2">
                  <c:v>23082.906884276421</c:v>
                </c:pt>
                <c:pt idx="3">
                  <c:v>25633</c:v>
                </c:pt>
                <c:pt idx="4">
                  <c:v>25510</c:v>
                </c:pt>
                <c:pt idx="5">
                  <c:v>23972</c:v>
                </c:pt>
                <c:pt idx="6">
                  <c:v>26818</c:v>
                </c:pt>
                <c:pt idx="7">
                  <c:v>12024</c:v>
                </c:pt>
                <c:pt idx="8">
                  <c:v>13256</c:v>
                </c:pt>
                <c:pt idx="9">
                  <c:v>22210</c:v>
                </c:pt>
                <c:pt idx="10">
                  <c:v>30072.356215213356</c:v>
                </c:pt>
                <c:pt idx="11">
                  <c:v>32418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74-4F98-BE35-2BDF7828A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DE!$B$21:$B$31</c:f>
              <c:numCache>
                <c:formatCode>0.0%</c:formatCode>
                <c:ptCount val="11"/>
                <c:pt idx="0">
                  <c:v>0.17511207716342889</c:v>
                </c:pt>
                <c:pt idx="1">
                  <c:v>-0.22532806578260958</c:v>
                </c:pt>
                <c:pt idx="2">
                  <c:v>0.12909999999999999</c:v>
                </c:pt>
                <c:pt idx="3">
                  <c:v>0</c:v>
                </c:pt>
                <c:pt idx="4">
                  <c:v>-9.0668781390430872E-2</c:v>
                </c:pt>
                <c:pt idx="5">
                  <c:v>0.14302325581395348</c:v>
                </c:pt>
                <c:pt idx="6">
                  <c:v>-0.60942268565615465</c:v>
                </c:pt>
                <c:pt idx="7">
                  <c:v>7.0486732866677518E-2</c:v>
                </c:pt>
                <c:pt idx="8">
                  <c:v>1.3628345498783454</c:v>
                </c:pt>
                <c:pt idx="9">
                  <c:v>0.1284202810875843</c:v>
                </c:pt>
                <c:pt idx="10">
                  <c:v>9.2999999999999944E-2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C-4C38-9F9F-960010E6C658}"/>
            </c:ext>
          </c:extLst>
        </c:ser>
        <c:ser>
          <c:idx val="1"/>
          <c:order val="1"/>
          <c:tx>
            <c:strRef>
              <c:f>DE!$C$20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DE!$C$21:$C$31</c:f>
              <c:numCache>
                <c:formatCode>0.0%</c:formatCode>
                <c:ptCount val="11"/>
                <c:pt idx="0">
                  <c:v>0.1519036519036519</c:v>
                </c:pt>
                <c:pt idx="1">
                  <c:v>-2.6858900325614634E-2</c:v>
                </c:pt>
                <c:pt idx="2">
                  <c:v>0.11047538893208669</c:v>
                </c:pt>
                <c:pt idx="3">
                  <c:v>-4.7985019311044359E-3</c:v>
                </c:pt>
                <c:pt idx="4">
                  <c:v>-6.0290082320658564E-2</c:v>
                </c:pt>
                <c:pt idx="5">
                  <c:v>0.11872184214917404</c:v>
                </c:pt>
                <c:pt idx="6">
                  <c:v>-0.55164441792825714</c:v>
                </c:pt>
                <c:pt idx="7">
                  <c:v>0.10246174318030606</c:v>
                </c:pt>
                <c:pt idx="8">
                  <c:v>0.67546771273385642</c:v>
                </c:pt>
                <c:pt idx="9">
                  <c:v>0.35400073008614841</c:v>
                </c:pt>
                <c:pt idx="10">
                  <c:v>7.8000000000000055E-2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C-4C38-9F9F-960010E6C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Europa.xlsx]IT!TablaDinámica18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IT!$B$3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IT!$A$4:$A$16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IT!$B$4:$B$16</c:f>
              <c:numCache>
                <c:formatCode>_-* #,##0_-;\-* #,##0_-;_-* "-"??_-;_-@_-</c:formatCode>
                <c:ptCount val="12"/>
                <c:pt idx="0">
                  <c:v>2934</c:v>
                </c:pt>
                <c:pt idx="1">
                  <c:v>3107.9920000000002</c:v>
                </c:pt>
                <c:pt idx="2">
                  <c:v>3371.2696941612603</c:v>
                </c:pt>
                <c:pt idx="3">
                  <c:v>3637.6</c:v>
                </c:pt>
                <c:pt idx="4">
                  <c:v>3773</c:v>
                </c:pt>
                <c:pt idx="5">
                  <c:v>4448.8999999999996</c:v>
                </c:pt>
                <c:pt idx="6">
                  <c:v>4655.26</c:v>
                </c:pt>
                <c:pt idx="7">
                  <c:v>3459</c:v>
                </c:pt>
                <c:pt idx="8">
                  <c:v>5208</c:v>
                </c:pt>
                <c:pt idx="9">
                  <c:v>6119</c:v>
                </c:pt>
                <c:pt idx="10">
                  <c:v>5702.8061224489793</c:v>
                </c:pt>
                <c:pt idx="11">
                  <c:v>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6-43B3-B4AF-BC7D04CEC733}"/>
            </c:ext>
          </c:extLst>
        </c:ser>
        <c:ser>
          <c:idx val="1"/>
          <c:order val="1"/>
          <c:tx>
            <c:strRef>
              <c:f>IT!$C$3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IT!$A$4:$A$16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IT!$C$4:$C$16</c:f>
              <c:numCache>
                <c:formatCode>_-* #,##0_-;\-* #,##0_-;_-* "-"??_-;_-@_-</c:formatCode>
                <c:ptCount val="12"/>
                <c:pt idx="0">
                  <c:v>2345</c:v>
                </c:pt>
                <c:pt idx="1">
                  <c:v>2546.0329999999999</c:v>
                </c:pt>
                <c:pt idx="2">
                  <c:v>2708.4359605911332</c:v>
                </c:pt>
                <c:pt idx="3">
                  <c:v>3518.8</c:v>
                </c:pt>
                <c:pt idx="4">
                  <c:v>3881</c:v>
                </c:pt>
                <c:pt idx="5">
                  <c:v>9150.1</c:v>
                </c:pt>
                <c:pt idx="6">
                  <c:v>7766.91</c:v>
                </c:pt>
                <c:pt idx="7">
                  <c:v>4929</c:v>
                </c:pt>
                <c:pt idx="8">
                  <c:v>7817</c:v>
                </c:pt>
                <c:pt idx="9">
                  <c:v>7906</c:v>
                </c:pt>
                <c:pt idx="10">
                  <c:v>11088.062622309197</c:v>
                </c:pt>
                <c:pt idx="11">
                  <c:v>11332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6-43B3-B4AF-BC7D04CEC733}"/>
            </c:ext>
          </c:extLst>
        </c:ser>
        <c:ser>
          <c:idx val="2"/>
          <c:order val="2"/>
          <c:tx>
            <c:strRef>
              <c:f>IT!$D$3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IT!$A$4:$A$16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IT!$D$4:$D$16</c:f>
              <c:numCache>
                <c:formatCode>_-* #,##0_-;\-* #,##0_-;_-* "-"??_-;_-@_-</c:formatCode>
                <c:ptCount val="12"/>
                <c:pt idx="0">
                  <c:v>1989</c:v>
                </c:pt>
                <c:pt idx="1">
                  <c:v>2025.0129999999999</c:v>
                </c:pt>
                <c:pt idx="2">
                  <c:v>1859.2426252934572</c:v>
                </c:pt>
                <c:pt idx="3">
                  <c:v>1821.5</c:v>
                </c:pt>
                <c:pt idx="4">
                  <c:v>1952</c:v>
                </c:pt>
                <c:pt idx="5">
                  <c:v>2052.4</c:v>
                </c:pt>
                <c:pt idx="6">
                  <c:v>1871.12</c:v>
                </c:pt>
                <c:pt idx="7">
                  <c:v>1242</c:v>
                </c:pt>
                <c:pt idx="8">
                  <c:v>1503</c:v>
                </c:pt>
                <c:pt idx="9">
                  <c:v>1475</c:v>
                </c:pt>
                <c:pt idx="10">
                  <c:v>1219.0305206463195</c:v>
                </c:pt>
                <c:pt idx="11">
                  <c:v>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56-43B3-B4AF-BC7D04CEC733}"/>
            </c:ext>
          </c:extLst>
        </c:ser>
        <c:ser>
          <c:idx val="3"/>
          <c:order val="3"/>
          <c:tx>
            <c:strRef>
              <c:f>IT!$E$3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IT!$A$4:$A$16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IT!$E$4:$E$16</c:f>
              <c:numCache>
                <c:formatCode>_-* #,##0_-;\-* #,##0_-;_-* "-"??_-;_-@_-</c:formatCode>
                <c:ptCount val="12"/>
                <c:pt idx="0">
                  <c:v>7268</c:v>
                </c:pt>
                <c:pt idx="1">
                  <c:v>7679</c:v>
                </c:pt>
                <c:pt idx="2">
                  <c:v>7938.9482800458509</c:v>
                </c:pt>
                <c:pt idx="3">
                  <c:v>8977.9</c:v>
                </c:pt>
                <c:pt idx="4">
                  <c:v>9606</c:v>
                </c:pt>
                <c:pt idx="5">
                  <c:v>15651.4</c:v>
                </c:pt>
                <c:pt idx="6">
                  <c:v>14293.29</c:v>
                </c:pt>
                <c:pt idx="7">
                  <c:v>9630</c:v>
                </c:pt>
                <c:pt idx="8">
                  <c:v>14528</c:v>
                </c:pt>
                <c:pt idx="9">
                  <c:v>15500</c:v>
                </c:pt>
                <c:pt idx="10">
                  <c:v>18007.34522560336</c:v>
                </c:pt>
                <c:pt idx="11">
                  <c:v>17161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56-43B3-B4AF-BC7D04CEC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IT!$A$21:$A$31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IT!$B$21:$B$31</c:f>
              <c:numCache>
                <c:formatCode>0.0%</c:formatCode>
                <c:ptCount val="11"/>
                <c:pt idx="0">
                  <c:v>8.5728358208955177E-2</c:v>
                </c:pt>
                <c:pt idx="1">
                  <c:v>6.378666756916869E-2</c:v>
                </c:pt>
                <c:pt idx="2">
                  <c:v>0.29920000000000002</c:v>
                </c:pt>
                <c:pt idx="3">
                  <c:v>0.1029328180061384</c:v>
                </c:pt>
                <c:pt idx="4">
                  <c:v>1.3576655501159496</c:v>
                </c:pt>
                <c:pt idx="5">
                  <c:v>-0.1511666539163507</c:v>
                </c:pt>
                <c:pt idx="6">
                  <c:v>-0.36538468966422938</c:v>
                </c:pt>
                <c:pt idx="7">
                  <c:v>0.58592006492189086</c:v>
                </c:pt>
                <c:pt idx="8">
                  <c:v>1.1385441985416401E-2</c:v>
                </c:pt>
                <c:pt idx="9">
                  <c:v>0.4024870506335943</c:v>
                </c:pt>
                <c:pt idx="10">
                  <c:v>2.2000000000000085E-2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B-4111-8A98-D37E8E7F0B17}"/>
            </c:ext>
          </c:extLst>
        </c:ser>
        <c:ser>
          <c:idx val="1"/>
          <c:order val="1"/>
          <c:tx>
            <c:strRef>
              <c:f>IT!$C$20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IT!$A$21:$A$31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IT!$C$21:$C$31</c:f>
              <c:numCache>
                <c:formatCode>0.0%</c:formatCode>
                <c:ptCount val="11"/>
                <c:pt idx="0">
                  <c:v>5.6549257017061087E-2</c:v>
                </c:pt>
                <c:pt idx="1">
                  <c:v>3.3851840089315133E-2</c:v>
                </c:pt>
                <c:pt idx="2">
                  <c:v>0.1308676770908688</c:v>
                </c:pt>
                <c:pt idx="3">
                  <c:v>6.9960681228349655E-2</c:v>
                </c:pt>
                <c:pt idx="4">
                  <c:v>0.6293358317718093</c:v>
                </c:pt>
                <c:pt idx="5">
                  <c:v>-8.677242930344882E-2</c:v>
                </c:pt>
                <c:pt idx="6">
                  <c:v>-0.32625728576136082</c:v>
                </c:pt>
                <c:pt idx="7">
                  <c:v>0.50861889927310489</c:v>
                </c:pt>
                <c:pt idx="8">
                  <c:v>6.6905286343612341E-2</c:v>
                </c:pt>
                <c:pt idx="9">
                  <c:v>0.16176420810344255</c:v>
                </c:pt>
                <c:pt idx="10">
                  <c:v>-4.7000000000000104E-2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B-4111-8A98-D37E8E7F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Europa.xlsx]PL!TablaDinámica18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PL!$B$4:$B$16</c:f>
              <c:numCache>
                <c:formatCode>_-* #,##0_-;\-* #,##0_-;_-* "-"??_-;_-@_-</c:formatCode>
                <c:ptCount val="12"/>
                <c:pt idx="0">
                  <c:v>1344</c:v>
                </c:pt>
                <c:pt idx="1">
                  <c:v>1742.2</c:v>
                </c:pt>
                <c:pt idx="2">
                  <c:v>1944.6743628839031</c:v>
                </c:pt>
                <c:pt idx="3">
                  <c:v>1785.6</c:v>
                </c:pt>
                <c:pt idx="4">
                  <c:v>2104</c:v>
                </c:pt>
                <c:pt idx="5">
                  <c:v>2617.6</c:v>
                </c:pt>
                <c:pt idx="6">
                  <c:v>2681.72</c:v>
                </c:pt>
                <c:pt idx="7">
                  <c:v>2365.61</c:v>
                </c:pt>
                <c:pt idx="8">
                  <c:v>2822.85</c:v>
                </c:pt>
                <c:pt idx="9">
                  <c:v>2936.33</c:v>
                </c:pt>
                <c:pt idx="10">
                  <c:v>2909.0098126672615</c:v>
                </c:pt>
                <c:pt idx="11">
                  <c:v>3261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2-4B3A-A892-63590583717E}"/>
            </c:ext>
          </c:extLst>
        </c:ser>
        <c:ser>
          <c:idx val="1"/>
          <c:order val="1"/>
          <c:tx>
            <c:strRef>
              <c:f>PL!$C$3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PL!$C$4:$C$16</c:f>
              <c:numCache>
                <c:formatCode>_-* #,##0_-;\-* #,##0_-;_-* "-"??_-;_-@_-</c:formatCode>
                <c:ptCount val="12"/>
                <c:pt idx="0">
                  <c:v>2262.5</c:v>
                </c:pt>
                <c:pt idx="1">
                  <c:v>3193.3</c:v>
                </c:pt>
                <c:pt idx="2">
                  <c:v>3352.9282092732751</c:v>
                </c:pt>
                <c:pt idx="3">
                  <c:v>4563</c:v>
                </c:pt>
                <c:pt idx="4">
                  <c:v>5132.1000000000004</c:v>
                </c:pt>
                <c:pt idx="5">
                  <c:v>6448.3</c:v>
                </c:pt>
                <c:pt idx="6">
                  <c:v>6246.06</c:v>
                </c:pt>
                <c:pt idx="7">
                  <c:v>4276.38</c:v>
                </c:pt>
                <c:pt idx="8">
                  <c:v>6052.94</c:v>
                </c:pt>
                <c:pt idx="9">
                  <c:v>5996.37</c:v>
                </c:pt>
                <c:pt idx="10">
                  <c:v>7334.1269841269841</c:v>
                </c:pt>
                <c:pt idx="11">
                  <c:v>9241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2-4B3A-A892-63590583717E}"/>
            </c:ext>
          </c:extLst>
        </c:ser>
        <c:ser>
          <c:idx val="2"/>
          <c:order val="2"/>
          <c:tx>
            <c:strRef>
              <c:f>PL!$D$3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PL!$D$4:$D$16</c:f>
              <c:numCache>
                <c:formatCode>_-* #,##0_-;\-* #,##0_-;_-* "-"??_-;_-@_-</c:formatCode>
                <c:ptCount val="12"/>
                <c:pt idx="0">
                  <c:v>212.8</c:v>
                </c:pt>
                <c:pt idx="1">
                  <c:v>106</c:v>
                </c:pt>
                <c:pt idx="2">
                  <c:v>162.16216216216213</c:v>
                </c:pt>
                <c:pt idx="3">
                  <c:v>78.599999999999994</c:v>
                </c:pt>
                <c:pt idx="4">
                  <c:v>87.8</c:v>
                </c:pt>
                <c:pt idx="5">
                  <c:v>65</c:v>
                </c:pt>
                <c:pt idx="6">
                  <c:v>86.41</c:v>
                </c:pt>
                <c:pt idx="7">
                  <c:v>101.41</c:v>
                </c:pt>
                <c:pt idx="8">
                  <c:v>60.58</c:v>
                </c:pt>
                <c:pt idx="9">
                  <c:v>49.73</c:v>
                </c:pt>
                <c:pt idx="10">
                  <c:v>64.00742115027829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2-4B3A-A892-63590583717E}"/>
            </c:ext>
          </c:extLst>
        </c:ser>
        <c:ser>
          <c:idx val="3"/>
          <c:order val="3"/>
          <c:tx>
            <c:strRef>
              <c:f>PL!$E$3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PL!$E$4:$E$16</c:f>
              <c:numCache>
                <c:formatCode>_-* #,##0_-;\-* #,##0_-;_-* "-"??_-;_-@_-</c:formatCode>
                <c:ptCount val="12"/>
                <c:pt idx="0">
                  <c:v>3819.3</c:v>
                </c:pt>
                <c:pt idx="1">
                  <c:v>5041.3999999999996</c:v>
                </c:pt>
                <c:pt idx="2">
                  <c:v>5459.7647343193412</c:v>
                </c:pt>
                <c:pt idx="3">
                  <c:v>6427.2000000000007</c:v>
                </c:pt>
                <c:pt idx="4">
                  <c:v>7323.9000000000005</c:v>
                </c:pt>
                <c:pt idx="5">
                  <c:v>9130.9</c:v>
                </c:pt>
                <c:pt idx="6">
                  <c:v>9014.19</c:v>
                </c:pt>
                <c:pt idx="7">
                  <c:v>6743.4</c:v>
                </c:pt>
                <c:pt idx="8">
                  <c:v>8936.369999999999</c:v>
                </c:pt>
                <c:pt idx="9">
                  <c:v>8982.43</c:v>
                </c:pt>
                <c:pt idx="10">
                  <c:v>10304.098360655738</c:v>
                </c:pt>
                <c:pt idx="11">
                  <c:v>12571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D2-4B3A-A892-635905837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PL!$B$21:$B$31</c:f>
              <c:numCache>
                <c:formatCode>0.0%</c:formatCode>
                <c:ptCount val="11"/>
                <c:pt idx="0">
                  <c:v>0.41140331491712717</c:v>
                </c:pt>
                <c:pt idx="1">
                  <c:v>4.9988478775334272E-2</c:v>
                </c:pt>
                <c:pt idx="2">
                  <c:v>0.36089999999999994</c:v>
                </c:pt>
                <c:pt idx="3">
                  <c:v>0.12472057856673249</c:v>
                </c:pt>
                <c:pt idx="4">
                  <c:v>0.2564642154283821</c:v>
                </c:pt>
                <c:pt idx="5">
                  <c:v>-3.1363305057146809E-2</c:v>
                </c:pt>
                <c:pt idx="6">
                  <c:v>-0.31534759512396615</c:v>
                </c:pt>
                <c:pt idx="7">
                  <c:v>0.41543548515333051</c:v>
                </c:pt>
                <c:pt idx="8">
                  <c:v>-9.3458715929779102E-3</c:v>
                </c:pt>
                <c:pt idx="9">
                  <c:v>0.22309446950855005</c:v>
                </c:pt>
                <c:pt idx="1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0-4A7F-B139-66FF14AAFBB2}"/>
            </c:ext>
          </c:extLst>
        </c:ser>
        <c:ser>
          <c:idx val="1"/>
          <c:order val="1"/>
          <c:tx>
            <c:strRef>
              <c:f>PL!$C$20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PL!$C$21:$C$31</c:f>
              <c:numCache>
                <c:formatCode>0.0%</c:formatCode>
                <c:ptCount val="11"/>
                <c:pt idx="0">
                  <c:v>0.31998010106564012</c:v>
                </c:pt>
                <c:pt idx="1">
                  <c:v>8.2985824239168005E-2</c:v>
                </c:pt>
                <c:pt idx="2">
                  <c:v>0.17719358118116199</c:v>
                </c:pt>
                <c:pt idx="3">
                  <c:v>0.13951643017176993</c:v>
                </c:pt>
                <c:pt idx="4">
                  <c:v>0.24672647086934543</c:v>
                </c:pt>
                <c:pt idx="5">
                  <c:v>-1.2781872542684635E-2</c:v>
                </c:pt>
                <c:pt idx="6">
                  <c:v>-0.25191281745780825</c:v>
                </c:pt>
                <c:pt idx="7">
                  <c:v>0.32520242014414086</c:v>
                </c:pt>
                <c:pt idx="8">
                  <c:v>5.1542180997431073E-3</c:v>
                </c:pt>
                <c:pt idx="9">
                  <c:v>0.14713928866194761</c:v>
                </c:pt>
                <c:pt idx="10">
                  <c:v>0.21999999999999992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0-4A7F-B139-66FF14AA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Europa.xlsx]SE!TablaDinámica18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SE!$B$4:$B$16</c:f>
              <c:numCache>
                <c:formatCode>_-* #,##0_-;\-* #,##0_-;_-* "-"??_-;_-@_-</c:formatCode>
                <c:ptCount val="12"/>
                <c:pt idx="0">
                  <c:v>1823.1</c:v>
                </c:pt>
                <c:pt idx="1">
                  <c:v>1830.5</c:v>
                </c:pt>
                <c:pt idx="2">
                  <c:v>1839.1691940079036</c:v>
                </c:pt>
                <c:pt idx="3">
                  <c:v>2001.2</c:v>
                </c:pt>
                <c:pt idx="4">
                  <c:v>2094.1</c:v>
                </c:pt>
                <c:pt idx="5">
                  <c:v>1373.1</c:v>
                </c:pt>
                <c:pt idx="6">
                  <c:v>1972.15</c:v>
                </c:pt>
                <c:pt idx="7">
                  <c:v>1856.6</c:v>
                </c:pt>
                <c:pt idx="8">
                  <c:v>2001.1736641221373</c:v>
                </c:pt>
                <c:pt idx="9">
                  <c:v>2097.23</c:v>
                </c:pt>
                <c:pt idx="10">
                  <c:v>2133.0275229357799</c:v>
                </c:pt>
                <c:pt idx="11">
                  <c:v>1860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A-4EAB-AD38-505AEBD13777}"/>
            </c:ext>
          </c:extLst>
        </c:ser>
        <c:ser>
          <c:idx val="1"/>
          <c:order val="1"/>
          <c:tx>
            <c:strRef>
              <c:f>SE!$C$3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SE!$C$4:$C$16</c:f>
              <c:numCache>
                <c:formatCode>_-* #,##0_-;\-* #,##0_-;_-* "-"??_-;_-@_-</c:formatCode>
                <c:ptCount val="12"/>
                <c:pt idx="0">
                  <c:v>4061.9</c:v>
                </c:pt>
                <c:pt idx="1">
                  <c:v>4166.8</c:v>
                </c:pt>
                <c:pt idx="2">
                  <c:v>4621.357602070635</c:v>
                </c:pt>
                <c:pt idx="3">
                  <c:v>5535</c:v>
                </c:pt>
                <c:pt idx="4">
                  <c:v>6214.4</c:v>
                </c:pt>
                <c:pt idx="5">
                  <c:v>4283.3</c:v>
                </c:pt>
                <c:pt idx="6">
                  <c:v>4932.12</c:v>
                </c:pt>
                <c:pt idx="7">
                  <c:v>4464.53</c:v>
                </c:pt>
                <c:pt idx="8">
                  <c:v>6580.051247983296</c:v>
                </c:pt>
                <c:pt idx="9">
                  <c:v>6933.4</c:v>
                </c:pt>
                <c:pt idx="10">
                  <c:v>6358.9743589743584</c:v>
                </c:pt>
                <c:pt idx="11">
                  <c:v>6944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A-4EAB-AD38-505AEBD13777}"/>
            </c:ext>
          </c:extLst>
        </c:ser>
        <c:ser>
          <c:idx val="2"/>
          <c:order val="2"/>
          <c:tx>
            <c:strRef>
              <c:f>SE!$D$3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SE!$D$4:$D$16</c:f>
              <c:numCache>
                <c:formatCode>_-* #,##0_-;\-* #,##0_-;_-* "-"??_-;_-@_-</c:formatCode>
                <c:ptCount val="12"/>
                <c:pt idx="0">
                  <c:v>20.7</c:v>
                </c:pt>
                <c:pt idx="1">
                  <c:v>1.3</c:v>
                </c:pt>
                <c:pt idx="2">
                  <c:v>3.6610878661087867</c:v>
                </c:pt>
                <c:pt idx="3">
                  <c:v>1.4</c:v>
                </c:pt>
                <c:pt idx="4">
                  <c:v>3.4</c:v>
                </c:pt>
                <c:pt idx="5">
                  <c:v>3.4</c:v>
                </c:pt>
                <c:pt idx="6">
                  <c:v>2.5</c:v>
                </c:pt>
                <c:pt idx="7">
                  <c:v>1.03</c:v>
                </c:pt>
                <c:pt idx="8">
                  <c:v>5.4366888810943523</c:v>
                </c:pt>
                <c:pt idx="9">
                  <c:v>6.2</c:v>
                </c:pt>
                <c:pt idx="10">
                  <c:v>17.04545454545454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A-4EAB-AD38-505AEBD13777}"/>
            </c:ext>
          </c:extLst>
        </c:ser>
        <c:ser>
          <c:idx val="3"/>
          <c:order val="3"/>
          <c:tx>
            <c:strRef>
              <c:f>SE!$E$3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SE!$E$4:$E$16</c:f>
              <c:numCache>
                <c:formatCode>_-* #,##0_-;\-* #,##0_-;_-* "-"??_-;_-@_-</c:formatCode>
                <c:ptCount val="12"/>
                <c:pt idx="0">
                  <c:v>5905.8</c:v>
                </c:pt>
                <c:pt idx="1">
                  <c:v>5998.7</c:v>
                </c:pt>
                <c:pt idx="2">
                  <c:v>6464.1878839446472</c:v>
                </c:pt>
                <c:pt idx="3">
                  <c:v>7537.5999999999995</c:v>
                </c:pt>
                <c:pt idx="4">
                  <c:v>8311.9</c:v>
                </c:pt>
                <c:pt idx="5">
                  <c:v>5659.7999999999993</c:v>
                </c:pt>
                <c:pt idx="6">
                  <c:v>6906.77</c:v>
                </c:pt>
                <c:pt idx="7">
                  <c:v>6322.1599999999989</c:v>
                </c:pt>
                <c:pt idx="8">
                  <c:v>8586.6616009865284</c:v>
                </c:pt>
                <c:pt idx="9">
                  <c:v>9036.83</c:v>
                </c:pt>
                <c:pt idx="10">
                  <c:v>8509.1787439613527</c:v>
                </c:pt>
                <c:pt idx="11">
                  <c:v>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9A-4EAB-AD38-505AEBD13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SE!$B$21:$B$31</c:f>
              <c:numCache>
                <c:formatCode>0.0%</c:formatCode>
                <c:ptCount val="11"/>
                <c:pt idx="0">
                  <c:v>2.5825352667470911E-2</c:v>
                </c:pt>
                <c:pt idx="1">
                  <c:v>0.10909033360627696</c:v>
                </c:pt>
                <c:pt idx="2">
                  <c:v>0.1977000000000001</c:v>
                </c:pt>
                <c:pt idx="3">
                  <c:v>0.12274616079494122</c:v>
                </c:pt>
                <c:pt idx="4">
                  <c:v>-0.31074600926879498</c:v>
                </c:pt>
                <c:pt idx="5">
                  <c:v>0.15147666518805586</c:v>
                </c:pt>
                <c:pt idx="6">
                  <c:v>-9.4805073680283555E-2</c:v>
                </c:pt>
                <c:pt idx="7">
                  <c:v>0.47385083043081722</c:v>
                </c:pt>
                <c:pt idx="8">
                  <c:v>5.3700000000000102E-2</c:v>
                </c:pt>
                <c:pt idx="9">
                  <c:v>-8.2849055445472816E-2</c:v>
                </c:pt>
                <c:pt idx="10">
                  <c:v>9.2000000000000096E-2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D-46CC-82C3-BABE5A286F66}"/>
            </c:ext>
          </c:extLst>
        </c:ser>
        <c:ser>
          <c:idx val="1"/>
          <c:order val="1"/>
          <c:tx>
            <c:strRef>
              <c:f>SE!$C$20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SE!$C$21:$C$31</c:f>
              <c:numCache>
                <c:formatCode>0.0%</c:formatCode>
                <c:ptCount val="11"/>
                <c:pt idx="0">
                  <c:v>1.5730299028074036E-2</c:v>
                </c:pt>
                <c:pt idx="1">
                  <c:v>7.7598126918273516E-2</c:v>
                </c:pt>
                <c:pt idx="2">
                  <c:v>0.16605521611174504</c:v>
                </c:pt>
                <c:pt idx="3">
                  <c:v>0.10272500530672897</c:v>
                </c:pt>
                <c:pt idx="4">
                  <c:v>-0.31907265486832137</c:v>
                </c:pt>
                <c:pt idx="5">
                  <c:v>0.2203205060249481</c:v>
                </c:pt>
                <c:pt idx="6">
                  <c:v>-8.4643038641796592E-2</c:v>
                </c:pt>
                <c:pt idx="7">
                  <c:v>0.35818479775686313</c:v>
                </c:pt>
                <c:pt idx="8">
                  <c:v>5.2426474913341334E-2</c:v>
                </c:pt>
                <c:pt idx="9">
                  <c:v>-5.838897666976664E-2</c:v>
                </c:pt>
                <c:pt idx="10">
                  <c:v>3.4999999999999996E-2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D-46CC-82C3-BABE5A28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[Leasing Europa.xlsx]ES!TablaDinámica18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Nueva producción 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ES!$B$3</c:f>
              <c:strCache>
                <c:ptCount val="1"/>
                <c:pt idx="0">
                  <c:v>Suma de Equipment (Mio 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ES!$B$4:$B$16</c:f>
              <c:numCache>
                <c:formatCode>_-* #,##0_-;\-* #,##0_-;_-* "-"??_-;_-@_-</c:formatCode>
                <c:ptCount val="12"/>
                <c:pt idx="0">
                  <c:v>1007.6</c:v>
                </c:pt>
                <c:pt idx="1">
                  <c:v>1336.3</c:v>
                </c:pt>
                <c:pt idx="2">
                  <c:v>1530.4161304161305</c:v>
                </c:pt>
                <c:pt idx="3">
                  <c:v>1783.7</c:v>
                </c:pt>
                <c:pt idx="4">
                  <c:v>2446</c:v>
                </c:pt>
                <c:pt idx="5">
                  <c:v>2790.9</c:v>
                </c:pt>
                <c:pt idx="6">
                  <c:v>3335.34</c:v>
                </c:pt>
                <c:pt idx="7">
                  <c:v>2028.18</c:v>
                </c:pt>
                <c:pt idx="8">
                  <c:v>2467.63</c:v>
                </c:pt>
                <c:pt idx="9">
                  <c:v>2956.24</c:v>
                </c:pt>
                <c:pt idx="10">
                  <c:v>3025.2182347235698</c:v>
                </c:pt>
                <c:pt idx="11">
                  <c:v>3119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67C-976A-E15BA32A2B29}"/>
            </c:ext>
          </c:extLst>
        </c:ser>
        <c:ser>
          <c:idx val="1"/>
          <c:order val="1"/>
          <c:tx>
            <c:strRef>
              <c:f>ES!$C$3</c:f>
              <c:strCache>
                <c:ptCount val="1"/>
                <c:pt idx="0">
                  <c:v>Suma de Vehicles (Mio 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ES!$C$4:$C$16</c:f>
              <c:numCache>
                <c:formatCode>_-* #,##0_-;\-* #,##0_-;_-* "-"??_-;_-@_-</c:formatCode>
                <c:ptCount val="12"/>
                <c:pt idx="0">
                  <c:v>2078.3000000000002</c:v>
                </c:pt>
                <c:pt idx="1">
                  <c:v>2656.6000000000004</c:v>
                </c:pt>
                <c:pt idx="2">
                  <c:v>3664.7941241440249</c:v>
                </c:pt>
                <c:pt idx="3">
                  <c:v>4207.6000000000004</c:v>
                </c:pt>
                <c:pt idx="4">
                  <c:v>4630.8999999999996</c:v>
                </c:pt>
                <c:pt idx="5">
                  <c:v>4646.2</c:v>
                </c:pt>
                <c:pt idx="6">
                  <c:v>5301.95</c:v>
                </c:pt>
                <c:pt idx="7">
                  <c:v>2791.2799999999997</c:v>
                </c:pt>
                <c:pt idx="8">
                  <c:v>4576.67</c:v>
                </c:pt>
                <c:pt idx="9">
                  <c:v>4504.62</c:v>
                </c:pt>
                <c:pt idx="10">
                  <c:v>5750.149054155032</c:v>
                </c:pt>
                <c:pt idx="11">
                  <c:v>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A-467C-976A-E15BA32A2B29}"/>
            </c:ext>
          </c:extLst>
        </c:ser>
        <c:ser>
          <c:idx val="2"/>
          <c:order val="2"/>
          <c:tx>
            <c:strRef>
              <c:f>ES!$D$3</c:f>
              <c:strCache>
                <c:ptCount val="1"/>
                <c:pt idx="0">
                  <c:v>Suma de Real Estate (Mio €)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ES!$A$4:$A$16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ES!$D$4:$D$16</c:f>
              <c:numCache>
                <c:formatCode>_-* #,##0_-;\-* #,##0_-;_-* "-"??_-;_-@_-</c:formatCode>
                <c:ptCount val="12"/>
                <c:pt idx="0">
                  <c:v>480</c:v>
                </c:pt>
                <c:pt idx="1">
                  <c:v>520.70000000000005</c:v>
                </c:pt>
                <c:pt idx="2">
                  <c:v>487.86292241789624</c:v>
                </c:pt>
                <c:pt idx="3">
                  <c:v>410</c:v>
                </c:pt>
                <c:pt idx="4">
                  <c:v>592.6</c:v>
                </c:pt>
                <c:pt idx="5">
                  <c:v>405.1</c:v>
                </c:pt>
                <c:pt idx="6">
                  <c:v>505.36</c:v>
                </c:pt>
                <c:pt idx="7">
                  <c:v>398.11</c:v>
                </c:pt>
                <c:pt idx="8">
                  <c:v>491.36</c:v>
                </c:pt>
                <c:pt idx="9">
                  <c:v>330.13</c:v>
                </c:pt>
                <c:pt idx="10">
                  <c:v>230.93922651933701</c:v>
                </c:pt>
                <c:pt idx="11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1A-467C-976A-E15BA32A2B29}"/>
            </c:ext>
          </c:extLst>
        </c:ser>
        <c:ser>
          <c:idx val="3"/>
          <c:order val="3"/>
          <c:tx>
            <c:strRef>
              <c:f>ES!$E$3</c:f>
              <c:strCache>
                <c:ptCount val="1"/>
                <c:pt idx="0">
                  <c:v>Suma de Total (Mio €)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ES!$A$4:$A$16</c:f>
              <c:strCache>
                <c:ptCount val="12"/>
                <c:pt idx="0">
                  <c:v>1st Sem. 2013</c:v>
                </c:pt>
                <c:pt idx="1">
                  <c:v>1st Sem. 2014</c:v>
                </c:pt>
                <c:pt idx="2">
                  <c:v>1st Sem. 2015</c:v>
                </c:pt>
                <c:pt idx="3">
                  <c:v>1st Sem. 2016</c:v>
                </c:pt>
                <c:pt idx="4">
                  <c:v>1st Sem. 2017</c:v>
                </c:pt>
                <c:pt idx="5">
                  <c:v>1st Sem. 2018</c:v>
                </c:pt>
                <c:pt idx="6">
                  <c:v>1st Sem. 2019</c:v>
                </c:pt>
                <c:pt idx="7">
                  <c:v>1st Sem. 2020</c:v>
                </c:pt>
                <c:pt idx="8">
                  <c:v>1st Sem. 2021</c:v>
                </c:pt>
                <c:pt idx="9">
                  <c:v>1st Sem. 2022</c:v>
                </c:pt>
                <c:pt idx="10">
                  <c:v>1st Sem. 2023</c:v>
                </c:pt>
                <c:pt idx="11">
                  <c:v>1st Sem. 2024</c:v>
                </c:pt>
              </c:strCache>
            </c:strRef>
          </c:cat>
          <c:val>
            <c:numRef>
              <c:f>ES!$E$4:$E$16</c:f>
              <c:numCache>
                <c:formatCode>_-* #,##0_-;\-* #,##0_-;_-* "-"??_-;_-@_-</c:formatCode>
                <c:ptCount val="12"/>
                <c:pt idx="0">
                  <c:v>3565.9</c:v>
                </c:pt>
                <c:pt idx="1">
                  <c:v>4513.6000000000004</c:v>
                </c:pt>
                <c:pt idx="2">
                  <c:v>5683.0731769780523</c:v>
                </c:pt>
                <c:pt idx="3">
                  <c:v>6401.3</c:v>
                </c:pt>
                <c:pt idx="4">
                  <c:v>7669.5</c:v>
                </c:pt>
                <c:pt idx="5">
                  <c:v>7842.2000000000007</c:v>
                </c:pt>
                <c:pt idx="6">
                  <c:v>9142.65</c:v>
                </c:pt>
                <c:pt idx="7">
                  <c:v>5217.57</c:v>
                </c:pt>
                <c:pt idx="8">
                  <c:v>7535.66</c:v>
                </c:pt>
                <c:pt idx="9">
                  <c:v>7790.99</c:v>
                </c:pt>
                <c:pt idx="10">
                  <c:v>9007.8157926854074</c:v>
                </c:pt>
                <c:pt idx="11">
                  <c:v>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1A-467C-976A-E15BA32A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2256"/>
        <c:axId val="864010896"/>
      </c:lineChart>
      <c:catAx>
        <c:axId val="8640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10896"/>
        <c:crosses val="autoZero"/>
        <c:auto val="1"/>
        <c:lblAlgn val="ctr"/>
        <c:lblOffset val="100"/>
        <c:noMultiLvlLbl val="0"/>
      </c:catAx>
      <c:valAx>
        <c:axId val="864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  <a:r>
                  <a:rPr lang="es-ES" baseline="0"/>
                  <a:t> Euros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</a:t>
            </a:r>
            <a:r>
              <a:rPr lang="es-ES" baseline="0"/>
              <a:t> Cambio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ES!$B$20</c:f>
              <c:strCache>
                <c:ptCount val="1"/>
                <c:pt idx="0">
                  <c:v>%Change Vehicles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ES!$B$21:$B$31</c:f>
              <c:numCache>
                <c:formatCode>0.0%</c:formatCode>
                <c:ptCount val="11"/>
                <c:pt idx="0">
                  <c:v>0.27825626714141372</c:v>
                </c:pt>
                <c:pt idx="1">
                  <c:v>0.37950542955056249</c:v>
                </c:pt>
                <c:pt idx="2">
                  <c:v>0.14811360678623578</c:v>
                </c:pt>
                <c:pt idx="3">
                  <c:v>0.1006036695503373</c:v>
                </c:pt>
                <c:pt idx="4">
                  <c:v>3.3038934116478833E-3</c:v>
                </c:pt>
                <c:pt idx="5">
                  <c:v>0.14113684301149326</c:v>
                </c:pt>
                <c:pt idx="6">
                  <c:v>-0.47353709484246365</c:v>
                </c:pt>
                <c:pt idx="7">
                  <c:v>0.63963128027284988</c:v>
                </c:pt>
                <c:pt idx="8">
                  <c:v>-1.5742887295784967E-2</c:v>
                </c:pt>
                <c:pt idx="9">
                  <c:v>0.27650036055317256</c:v>
                </c:pt>
                <c:pt idx="10">
                  <c:v>0.13927481501827796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0F2-9067-CAF04D2BC56E}"/>
            </c:ext>
          </c:extLst>
        </c:ser>
        <c:ser>
          <c:idx val="1"/>
          <c:order val="1"/>
          <c:tx>
            <c:strRef>
              <c:f>ES!$C$20</c:f>
              <c:strCache>
                <c:ptCount val="1"/>
                <c:pt idx="0">
                  <c:v>%Change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ES!$A$21:$A$31</c:f>
              <c:strCache>
                <c:ptCount val="11"/>
                <c:pt idx="0">
                  <c:v>1st Sem. 2014</c:v>
                </c:pt>
                <c:pt idx="1">
                  <c:v>1st Sem. 2015</c:v>
                </c:pt>
                <c:pt idx="2">
                  <c:v>1st Sem. 2016</c:v>
                </c:pt>
                <c:pt idx="3">
                  <c:v>1st Sem. 2017</c:v>
                </c:pt>
                <c:pt idx="4">
                  <c:v>1st Sem. 2018</c:v>
                </c:pt>
                <c:pt idx="5">
                  <c:v>1st Sem. 2019</c:v>
                </c:pt>
                <c:pt idx="6">
                  <c:v>1st Sem. 2020</c:v>
                </c:pt>
                <c:pt idx="7">
                  <c:v>1st Sem. 2021</c:v>
                </c:pt>
                <c:pt idx="8">
                  <c:v>1st Sem. 2022</c:v>
                </c:pt>
                <c:pt idx="9">
                  <c:v>1st Sem. 2023</c:v>
                </c:pt>
                <c:pt idx="10">
                  <c:v>1st Sem. 2024</c:v>
                </c:pt>
              </c:strCache>
            </c:strRef>
          </c:cat>
          <c:val>
            <c:numRef>
              <c:f>ES!$C$21:$C$31</c:f>
              <c:numCache>
                <c:formatCode>0.0%</c:formatCode>
                <c:ptCount val="11"/>
                <c:pt idx="0">
                  <c:v>0.26576740794750281</c:v>
                </c:pt>
                <c:pt idx="1">
                  <c:v>0.25909987082994768</c:v>
                </c:pt>
                <c:pt idx="2">
                  <c:v>0.12638000614376421</c:v>
                </c:pt>
                <c:pt idx="3">
                  <c:v>0.19811600768593876</c:v>
                </c:pt>
                <c:pt idx="4">
                  <c:v>2.2517765173740236E-2</c:v>
                </c:pt>
                <c:pt idx="5">
                  <c:v>0.1658271913493661</c:v>
                </c:pt>
                <c:pt idx="6">
                  <c:v>-0.42931535167593643</c:v>
                </c:pt>
                <c:pt idx="7">
                  <c:v>0.44428536655952872</c:v>
                </c:pt>
                <c:pt idx="8">
                  <c:v>3.3882898113768392E-2</c:v>
                </c:pt>
                <c:pt idx="9">
                  <c:v>0.15618371897350755</c:v>
                </c:pt>
                <c:pt idx="10">
                  <c:v>9.6714256526206729E-2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5-40F2-9067-CAF04D2B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48816"/>
        <c:axId val="864025776"/>
      </c:lineChart>
      <c:catAx>
        <c:axId val="864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25776"/>
        <c:crosses val="autoZero"/>
        <c:auto val="1"/>
        <c:lblAlgn val="ctr"/>
        <c:lblOffset val="100"/>
        <c:noMultiLvlLbl val="0"/>
      </c:catAx>
      <c:valAx>
        <c:axId val="8640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4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9AF518-750C-4373-99ED-3952B665F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A9EE6B-3AA2-47A5-910A-FB00E30E1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295274</xdr:colOff>
      <xdr:row>4</xdr:row>
      <xdr:rowOff>19050</xdr:rowOff>
    </xdr:from>
    <xdr:to>
      <xdr:col>14</xdr:col>
      <xdr:colOff>533399</xdr:colOff>
      <xdr:row>16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08A513-AD44-E603-BED5-20238B4F2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376236</xdr:colOff>
      <xdr:row>33</xdr:row>
      <xdr:rowOff>176211</xdr:rowOff>
    </xdr:from>
    <xdr:to>
      <xdr:col>19</xdr:col>
      <xdr:colOff>66674</xdr:colOff>
      <xdr:row>51</xdr:row>
      <xdr:rowOff>28574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75A50A8-5FB3-6A76-63EB-F53FDD4B3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357187</xdr:colOff>
      <xdr:row>19</xdr:row>
      <xdr:rowOff>23812</xdr:rowOff>
    </xdr:from>
    <xdr:to>
      <xdr:col>8</xdr:col>
      <xdr:colOff>71437</xdr:colOff>
      <xdr:row>33</xdr:row>
      <xdr:rowOff>100012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93A2C3C-0D30-19DA-5187-F614C295B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609599</xdr:colOff>
      <xdr:row>18</xdr:row>
      <xdr:rowOff>61912</xdr:rowOff>
    </xdr:from>
    <xdr:to>
      <xdr:col>16</xdr:col>
      <xdr:colOff>352424</xdr:colOff>
      <xdr:row>32</xdr:row>
      <xdr:rowOff>138112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EC5311E-EEEC-8644-0809-EDAFFC36E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571500</xdr:colOff>
      <xdr:row>18</xdr:row>
      <xdr:rowOff>66675</xdr:rowOff>
    </xdr:from>
    <xdr:to>
      <xdr:col>23</xdr:col>
      <xdr:colOff>381000</xdr:colOff>
      <xdr:row>32</xdr:row>
      <xdr:rowOff>142875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61F954E-1DFB-460A-98AC-C33609CA9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28575</xdr:colOff>
      <xdr:row>18</xdr:row>
      <xdr:rowOff>95250</xdr:rowOff>
    </xdr:from>
    <xdr:to>
      <xdr:col>31</xdr:col>
      <xdr:colOff>0</xdr:colOff>
      <xdr:row>32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B902210-4021-4797-B4A4-ADA872802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228600</xdr:colOff>
      <xdr:row>18</xdr:row>
      <xdr:rowOff>66675</xdr:rowOff>
    </xdr:from>
    <xdr:to>
      <xdr:col>38</xdr:col>
      <xdr:colOff>238125</xdr:colOff>
      <xdr:row>32</xdr:row>
      <xdr:rowOff>142875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15CFDB-D08F-48D2-BFC8-E7CE610B2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</xdr:row>
      <xdr:rowOff>47625</xdr:rowOff>
    </xdr:from>
    <xdr:to>
      <xdr:col>10</xdr:col>
      <xdr:colOff>771525</xdr:colOff>
      <xdr:row>12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32528C-DBA7-EEB6-7A47-5F41FEB49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133349</xdr:colOff>
      <xdr:row>15</xdr:row>
      <xdr:rowOff>176212</xdr:rowOff>
    </xdr:from>
    <xdr:to>
      <xdr:col>16</xdr:col>
      <xdr:colOff>590549</xdr:colOff>
      <xdr:row>30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5D2CB5-4722-1F3D-2489-941BFD9A0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781050</xdr:colOff>
      <xdr:row>15</xdr:row>
      <xdr:rowOff>171450</xdr:rowOff>
    </xdr:from>
    <xdr:to>
      <xdr:col>23</xdr:col>
      <xdr:colOff>638175</xdr:colOff>
      <xdr:row>30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F60043-F0FA-4AEB-A0CA-22A335A84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32</xdr:col>
      <xdr:colOff>428625</xdr:colOff>
      <xdr:row>30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2C2D67-EC14-4515-9141-76E3E7FC0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581025</xdr:colOff>
      <xdr:row>15</xdr:row>
      <xdr:rowOff>142875</xdr:rowOff>
    </xdr:from>
    <xdr:to>
      <xdr:col>37</xdr:col>
      <xdr:colOff>923925</xdr:colOff>
      <xdr:row>30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C4F254-FBCC-4E36-A3F3-A20EBD3D6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152399</xdr:colOff>
      <xdr:row>31</xdr:row>
      <xdr:rowOff>128586</xdr:rowOff>
    </xdr:from>
    <xdr:to>
      <xdr:col>16</xdr:col>
      <xdr:colOff>647699</xdr:colOff>
      <xdr:row>48</xdr:row>
      <xdr:rowOff>171449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3BD7513-5D61-8BB1-8ABB-14487895B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1076325</xdr:colOff>
      <xdr:row>16</xdr:row>
      <xdr:rowOff>4762</xdr:rowOff>
    </xdr:from>
    <xdr:to>
      <xdr:col>7</xdr:col>
      <xdr:colOff>123825</xdr:colOff>
      <xdr:row>30</xdr:row>
      <xdr:rowOff>80962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17AB29-1FFA-57AC-C4EC-E6EB81E14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FB6B0F-0C00-1BE6-99D2-4E04694C5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A8EF43-66CF-6639-3481-578417621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06A609-82B4-49E3-B541-C36557E9A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F713ED-B007-418F-8FE3-8D8563F45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4C10E8-4BDF-43CF-B9CE-E0C7027EC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B6521A-6688-4333-95C7-A41F7FBDC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726971-F95D-4891-832C-91D486B48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B4C630-AE15-4A09-BD3C-44F4E565C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F61954-9976-4AB5-BC06-EF1AC56DD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BF57D5-89CB-4063-8421-C00CC7E8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BF70A6-2954-462C-B523-39E33C1B1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2AEA78-B618-40A6-86D9-1148E482B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80962</xdr:rowOff>
    </xdr:from>
    <xdr:to>
      <xdr:col>15</xdr:col>
      <xdr:colOff>228601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4EEE43-0CF8-4A1C-8958-760DEAF7B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147636</xdr:colOff>
      <xdr:row>20</xdr:row>
      <xdr:rowOff>128587</xdr:rowOff>
    </xdr:from>
    <xdr:to>
      <xdr:col>12</xdr:col>
      <xdr:colOff>152399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8B40C0-D299-4A07-9784-59F9E0656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chi núñez" refreshedDate="45724.770100000002" createdVersion="8" refreshedVersion="8" minRefreshableVersion="3" recordCount="396" xr:uid="{435732AC-AA14-4062-81D0-CB030793F399}">
  <cacheSource type="worksheet">
    <worksheetSource ref="A1:G397" sheet="Data"/>
  </cacheSource>
  <cacheFields count="7">
    <cacheField name="Year" numFmtId="0">
      <sharedItems count="12">
        <s v="1st Sem. 2024"/>
        <s v="1st Sem. 2023"/>
        <s v="1st Sem. 2022"/>
        <s v="1st Sem. 2021"/>
        <s v="1st Sem. 2020"/>
        <s v="1st Sem. 2019"/>
        <s v="1st Sem. 2018"/>
        <s v="1st Sem. 2017"/>
        <s v="1st Sem. 2016"/>
        <s v="1st Sem. 2015"/>
        <s v="1st Sem. 2014"/>
        <s v="1st Sem. 2013"/>
      </sharedItems>
    </cacheField>
    <cacheField name="Country" numFmtId="0">
      <sharedItems count="29">
        <s v="AT"/>
        <s v="BE"/>
        <s v="BG"/>
        <s v="CH"/>
        <s v="CZ"/>
        <s v="DE"/>
        <s v="DK"/>
        <s v="EE"/>
        <s v="ES"/>
        <s v="FI"/>
        <s v="FR"/>
        <s v="GR"/>
        <s v="HR"/>
        <s v="HU"/>
        <s v="IT"/>
        <s v="LT"/>
        <s v="LV"/>
        <s v="MA"/>
        <s v="NL"/>
        <s v="NO"/>
        <s v="PL"/>
        <s v="PT"/>
        <s v="RU"/>
        <s v="SE"/>
        <s v="SI"/>
        <s v="SK"/>
        <s v="TR"/>
        <s v="UA"/>
        <s v="UK"/>
      </sharedItems>
    </cacheField>
    <cacheField name="Association" numFmtId="0">
      <sharedItems/>
    </cacheField>
    <cacheField name="Equipment (Mio €)" numFmtId="0">
      <sharedItems containsString="0" containsBlank="1" containsNumber="1" minValue="0" maxValue="13038"/>
    </cacheField>
    <cacheField name="Vehicles (Mio €)" numFmtId="0">
      <sharedItems containsString="0" containsBlank="1" containsNumber="1" minValue="0" maxValue="37810"/>
    </cacheField>
    <cacheField name="Real Estate (Mio €)" numFmtId="0">
      <sharedItems containsString="0" containsBlank="1" containsNumber="1" minValue="0" maxValue="2727"/>
    </cacheField>
    <cacheField name="Total (Mio €)" numFmtId="0">
      <sharedItems containsString="0" containsBlank="1" containsNumber="1" minValue="0" maxValue="45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s v="Verband Österreichischer Leasing-Gesellschaften - VÖL"/>
    <m/>
    <m/>
    <m/>
    <n v="0"/>
  </r>
  <r>
    <x v="0"/>
    <x v="1"/>
    <s v="Association Belge des Entreprises de Leasing"/>
    <n v="1799"/>
    <n v="2330"/>
    <n v="276"/>
    <n v="4405"/>
  </r>
  <r>
    <x v="0"/>
    <x v="1"/>
    <s v="Fédération Belge des Loueurs de Véhicules - RENTA"/>
    <m/>
    <m/>
    <m/>
    <n v="0"/>
  </r>
  <r>
    <x v="0"/>
    <x v="2"/>
    <s v="Bulgarian Association for Leasing - BAL"/>
    <n v="171"/>
    <n v="672"/>
    <n v="6"/>
    <n v="849"/>
  </r>
  <r>
    <x v="0"/>
    <x v="3"/>
    <s v="Schweizerischer Leasingverband - SLV"/>
    <m/>
    <m/>
    <m/>
    <m/>
  </r>
  <r>
    <x v="0"/>
    <x v="4"/>
    <s v="Czech Leasing and Finance Association - CLFA"/>
    <n v="699"/>
    <n v="1823"/>
    <n v="43"/>
    <n v="2565"/>
  </r>
  <r>
    <x v="0"/>
    <x v="5"/>
    <s v="Bundesverband Deutscher Leasing-Unternehmen e.V. - BDL"/>
    <n v="13038"/>
    <n v="19164"/>
    <n v="216"/>
    <n v="32418"/>
  </r>
  <r>
    <x v="0"/>
    <x v="6"/>
    <s v="Finans og Leasing"/>
    <n v="1272"/>
    <n v="3083"/>
    <n v="97"/>
    <n v="4452"/>
  </r>
  <r>
    <x v="0"/>
    <x v="7"/>
    <s v="Estonian Leasing Association"/>
    <n v="158"/>
    <n v="472"/>
    <m/>
    <n v="630"/>
  </r>
  <r>
    <x v="0"/>
    <x v="8"/>
    <s v="Asociación Española de Leasing y Renting - AELR"/>
    <n v="3119"/>
    <n v="2390"/>
    <n v="209"/>
    <n v="5718"/>
  </r>
  <r>
    <x v="0"/>
    <x v="8"/>
    <s v="Association Espanola de Renting de Vehiculos - AER"/>
    <m/>
    <n v="4161"/>
    <m/>
    <n v="4161"/>
  </r>
  <r>
    <x v="0"/>
    <x v="9"/>
    <s v="Federation of Finnish Financial Services - FKL"/>
    <m/>
    <m/>
    <m/>
    <m/>
  </r>
  <r>
    <x v="0"/>
    <x v="10"/>
    <s v="Association francaise des Sociétés Financieres - ASF"/>
    <n v="8049"/>
    <n v="18410"/>
    <n v="1580"/>
    <n v="28039"/>
  </r>
  <r>
    <x v="0"/>
    <x v="10"/>
    <s v="Fédération Nationale des Loueurs de Véhicules - FNLV"/>
    <m/>
    <n v="7803"/>
    <m/>
    <n v="7803"/>
  </r>
  <r>
    <x v="0"/>
    <x v="11"/>
    <s v="Association of Greek Leasing Companies - AGLC"/>
    <n v="123"/>
    <n v="112"/>
    <n v="11"/>
    <n v="246"/>
  </r>
  <r>
    <x v="0"/>
    <x v="12"/>
    <s v="Croatian Chamber of Economy - Association of Leasing Companies"/>
    <n v="188"/>
    <n v="935"/>
    <n v="4"/>
    <n v="1127"/>
  </r>
  <r>
    <x v="0"/>
    <x v="13"/>
    <s v="Hungarian Leasing Association"/>
    <n v="230"/>
    <n v="972"/>
    <n v="3"/>
    <n v="1205"/>
  </r>
  <r>
    <x v="0"/>
    <x v="14"/>
    <s v="Associazione Italiana Leasing - ASSILEA and ANIASA"/>
    <n v="4471"/>
    <n v="11332"/>
    <n v="1358"/>
    <n v="17161"/>
  </r>
  <r>
    <x v="0"/>
    <x v="15"/>
    <s v="Association of Lithuanian Banks - Leasing Committee"/>
    <n v="223"/>
    <n v="913"/>
    <n v="1"/>
    <n v="1137"/>
  </r>
  <r>
    <x v="0"/>
    <x v="16"/>
    <s v="Finance Latvia Association - Leasing Committee"/>
    <n v="151"/>
    <n v="253"/>
    <m/>
    <n v="404"/>
  </r>
  <r>
    <x v="0"/>
    <x v="17"/>
    <s v="Association Professionnelle des Sociétés de Financement - APSF"/>
    <n v="361"/>
    <n v="314"/>
    <n v="114"/>
    <n v="789"/>
  </r>
  <r>
    <x v="0"/>
    <x v="18"/>
    <s v="Nederlandse Vereniging van Leasemaatschappijen - NVL"/>
    <m/>
    <m/>
    <m/>
    <n v="0"/>
  </r>
  <r>
    <x v="0"/>
    <x v="19"/>
    <s v="Finansieringsselskapenes Forening"/>
    <n v="1409"/>
    <n v="2103"/>
    <n v="3"/>
    <n v="3515"/>
  </r>
  <r>
    <x v="0"/>
    <x v="20"/>
    <s v="Polish Leasing Association"/>
    <n v="3261"/>
    <n v="9241"/>
    <n v="69"/>
    <n v="12571"/>
  </r>
  <r>
    <x v="0"/>
    <x v="21"/>
    <s v="Associação Portuguesa de Leasing, Factoring e Renting - ALF"/>
    <n v="299"/>
    <n v="1335"/>
    <n v="443"/>
    <n v="2077"/>
  </r>
  <r>
    <x v="0"/>
    <x v="22"/>
    <s v="United Leasing Association - ULA"/>
    <m/>
    <m/>
    <m/>
    <n v="0"/>
  </r>
  <r>
    <x v="0"/>
    <x v="23"/>
    <s v="AFINA regrouping Finansbolagens Förening and Svenska Bankföreningen"/>
    <n v="1860"/>
    <n v="6944"/>
    <n v="3"/>
    <n v="8807"/>
  </r>
  <r>
    <x v="0"/>
    <x v="24"/>
    <s v="Leasing Committee of the Banking Association of Slovenia"/>
    <n v="61"/>
    <n v="784"/>
    <n v="3"/>
    <n v="848"/>
  </r>
  <r>
    <x v="0"/>
    <x v="25"/>
    <s v="Association of Leasing Companies of the Slovak Republic"/>
    <n v="363"/>
    <n v="1304"/>
    <n v="14"/>
    <n v="1681"/>
  </r>
  <r>
    <x v="0"/>
    <x v="26"/>
    <s v="Auto Leasing and Rental Companies Association - Tokkder"/>
    <m/>
    <n v="1039"/>
    <m/>
    <n v="1039"/>
  </r>
  <r>
    <x v="0"/>
    <x v="26"/>
    <s v="Turkish Association of Financial Institutions - AFI/FKB"/>
    <n v="1287"/>
    <n v="552"/>
    <n v="266"/>
    <n v="2105"/>
  </r>
  <r>
    <x v="0"/>
    <x v="27"/>
    <s v="Ukrainian Union of Lessors - UUL"/>
    <m/>
    <m/>
    <m/>
    <m/>
  </r>
  <r>
    <x v="0"/>
    <x v="28"/>
    <s v="Finance and Leasing Association - FLA"/>
    <n v="8017"/>
    <n v="37810"/>
    <m/>
    <n v="45827"/>
  </r>
  <r>
    <x v="1"/>
    <x v="0"/>
    <s v="Verband Österreichischer Leasing-Gesellschaften - VÖL"/>
    <n v="0"/>
    <n v="0"/>
    <n v="0"/>
    <n v="0"/>
  </r>
  <r>
    <x v="1"/>
    <x v="1"/>
    <s v="Association Belge des Entreprises de Leasing"/>
    <n v="1664.199814986124"/>
    <n v="2353.5353535353534"/>
    <n v="344.13965087281792"/>
    <n v="4361.3861386138615"/>
  </r>
  <r>
    <x v="1"/>
    <x v="1"/>
    <s v="Fédération Belge des Loueurs de Véhicules - RENTA"/>
    <n v="0"/>
    <n v="0"/>
    <n v="0"/>
    <n v="0"/>
  </r>
  <r>
    <x v="1"/>
    <x v="2"/>
    <s v="Bulgarian Association for Leasing - BAL"/>
    <n v="184.06889128094724"/>
    <n v="603.23159784560141"/>
    <n v="3"/>
    <n v="789.76744186046517"/>
  </r>
  <r>
    <x v="1"/>
    <x v="3"/>
    <s v="Schweizerischer Leasingverband - SLV"/>
    <n v="0"/>
    <n v="0"/>
    <n v="0"/>
    <n v="0"/>
  </r>
  <r>
    <x v="1"/>
    <x v="4"/>
    <s v="Czech Leasing and Finance Association - CLFA"/>
    <n v="742.82678002125397"/>
    <n v="1752.8846153846152"/>
    <n v="60.992907801418433"/>
    <n v="2557.3280159521437"/>
  </r>
  <r>
    <x v="1"/>
    <x v="5"/>
    <s v="Bundesverband Deutscher Leasing-Unternehmen e.V. - BDL"/>
    <n v="12288.407163053724"/>
    <n v="17533.394327538885"/>
    <n v="247.99081515499427"/>
    <n v="30072.356215213356"/>
  </r>
  <r>
    <x v="1"/>
    <x v="6"/>
    <s v="Finans og Leasing"/>
    <n v="1219.5589645254076"/>
    <n v="2676.2152777777778"/>
    <n v="77.974276527331185"/>
    <n v="3974.9999999999995"/>
  </r>
  <r>
    <x v="1"/>
    <x v="7"/>
    <s v="Estonian Leasing Association"/>
    <n v="183.08227114716107"/>
    <n v="480.16276703967446"/>
    <n v="0"/>
    <n v="663.15789473684208"/>
  </r>
  <r>
    <x v="1"/>
    <x v="8"/>
    <s v="Asociación Española de Leasing y Renting - AELR"/>
    <n v="3025.2182347235698"/>
    <n v="2208.8724584103511"/>
    <n v="230.93922651933701"/>
    <n v="5466.5391969407265"/>
  </r>
  <r>
    <x v="1"/>
    <x v="8"/>
    <s v="Association Espanola de Renting de Vehiculos - AER"/>
    <n v="0"/>
    <n v="3541.2765957446809"/>
    <n v="0"/>
    <n v="3541.2765957446809"/>
  </r>
  <r>
    <x v="1"/>
    <x v="9"/>
    <s v="Federation of Finnish Financial Services - FKL"/>
    <n v="0"/>
    <n v="0"/>
    <n v="0"/>
    <n v="0"/>
  </r>
  <r>
    <x v="1"/>
    <x v="10"/>
    <s v="Association francaise des Sociétés Financieres - ASF"/>
    <n v="8032.934131736527"/>
    <n v="16320.921985815601"/>
    <n v="2123.6559139784945"/>
    <n v="26476.864966949954"/>
  </r>
  <r>
    <x v="1"/>
    <x v="10"/>
    <s v="Fédération Nationale des Loueurs de Véhicules - FNLV"/>
    <n v="0"/>
    <n v="7438.5128693994284"/>
    <n v="0"/>
    <n v="7438.5128693994284"/>
  </r>
  <r>
    <x v="1"/>
    <x v="11"/>
    <s v="Association of Greek Leasing Companies - AGLC"/>
    <n v="202.97029702970298"/>
    <n v="83.024462564862858"/>
    <n v="38.062283737024217"/>
    <n v="324.11067193675888"/>
  </r>
  <r>
    <x v="1"/>
    <x v="12"/>
    <s v="Croatian Chamber of Economy - Association of Leasing Companies"/>
    <n v="144.94988434849654"/>
    <n v="779.81651376146783"/>
    <n v="1"/>
    <n v="926.04765817584212"/>
  </r>
  <r>
    <x v="1"/>
    <x v="13"/>
    <s v="Hungarian Leasing Association"/>
    <n v="294.11764705882354"/>
    <n v="854.13005272407736"/>
    <n v="4"/>
    <n v="1152.0076481835563"/>
  </r>
  <r>
    <x v="1"/>
    <x v="14"/>
    <s v="Associazione Italiana Leasing - ASSILEA and ANIASA"/>
    <n v="5702.8061224489793"/>
    <n v="11088.062622309197"/>
    <n v="1219.0305206463195"/>
    <n v="18007.34522560336"/>
  </r>
  <r>
    <x v="1"/>
    <x v="15"/>
    <s v="Association of Lithuanian Banks - Leasing Committee"/>
    <n v="239.01393354769559"/>
    <n v="891.6015625"/>
    <n v="1"/>
    <n v="1132.4701195219122"/>
  </r>
  <r>
    <x v="1"/>
    <x v="16"/>
    <s v="Finance Latvia Association - Leasing Committee"/>
    <n v="227.06766917293231"/>
    <n v="257.90010193679922"/>
    <n v="0"/>
    <n v="484.99399759903963"/>
  </r>
  <r>
    <x v="1"/>
    <x v="17"/>
    <s v="Association Professionnelle des Sociétés de Financement - APSF"/>
    <n v="334.87940630797772"/>
    <n v="280.10704727921501"/>
    <n v="139.02439024390242"/>
    <n v="754.30210325047801"/>
  </r>
  <r>
    <x v="1"/>
    <x v="18"/>
    <s v="Nederlandse Vereniging van Leasemaatschappijen - NVL"/>
    <n v="0"/>
    <n v="0"/>
    <n v="0"/>
    <n v="0"/>
  </r>
  <r>
    <x v="1"/>
    <x v="19"/>
    <s v="Finansieringsselskapenes Forening"/>
    <n v="1377.3216031280549"/>
    <n v="1947.2222222222222"/>
    <n v="4"/>
    <n v="3328.5984848484845"/>
  </r>
  <r>
    <x v="1"/>
    <x v="20"/>
    <s v="Polish Leasing Association"/>
    <n v="2909.0098126672615"/>
    <n v="7334.1269841269841"/>
    <n v="64.00742115027829"/>
    <n v="10304.098360655738"/>
  </r>
  <r>
    <x v="1"/>
    <x v="21"/>
    <s v="Associação Portuguesa de Leasing, Factoring e Renting - ALF"/>
    <n v="290.00969932104755"/>
    <n v="1025.3456221198157"/>
    <n v="325.97498160412067"/>
    <n v="1640.6003159557661"/>
  </r>
  <r>
    <x v="1"/>
    <x v="22"/>
    <s v="United Leasing Association - ULA"/>
    <n v="0"/>
    <n v="0"/>
    <n v="0"/>
    <n v="0"/>
  </r>
  <r>
    <x v="1"/>
    <x v="23"/>
    <s v="AFINA regrouping Finansbolagens Förening and Svenska Bankföreningen"/>
    <n v="2133.0275229357799"/>
    <n v="6358.9743589743584"/>
    <n v="17.04545454545454"/>
    <n v="8509.1787439613527"/>
  </r>
  <r>
    <x v="1"/>
    <x v="24"/>
    <s v="Leasing Committee of the Banking Association of Slovenia"/>
    <n v="72.018890200708384"/>
    <n v="810.75491209927611"/>
    <n v="4"/>
    <n v="887.02928870292885"/>
  </r>
  <r>
    <x v="1"/>
    <x v="25"/>
    <s v="Association of Leasing Companies of the Slovak Republic"/>
    <n v="435.25179856115108"/>
    <n v="1232.5141776937617"/>
    <n v="35.989717223650388"/>
    <n v="1703.1408308004052"/>
  </r>
  <r>
    <x v="1"/>
    <x v="26"/>
    <s v="Auto Leasing and Rental Companies Association - Tokkder"/>
    <n v="0"/>
    <n v="1033.8308457711444"/>
    <n v="0"/>
    <n v="1033.8308457711444"/>
  </r>
  <r>
    <x v="1"/>
    <x v="26"/>
    <s v="Turkish Association of Financial Institutions - AFI/FKB"/>
    <n v="1158.4158415841584"/>
    <n v="517.8236397748592"/>
    <n v="142.01815269620928"/>
    <n v="1817.7892918825562"/>
  </r>
  <r>
    <x v="1"/>
    <x v="27"/>
    <s v="Ukrainian Union of Lessors - UUL"/>
    <n v="0"/>
    <n v="0"/>
    <n v="0"/>
    <n v="0"/>
  </r>
  <r>
    <x v="1"/>
    <x v="28"/>
    <s v="Finance and Leasing Association - FLA"/>
    <n v="7985.0597609561755"/>
    <n v="36043.851286939942"/>
    <n v="0"/>
    <n v="44022.094140249763"/>
  </r>
  <r>
    <x v="2"/>
    <x v="0"/>
    <s v="Verband Österreichischer Leasing-Gesellschaften - VÖL"/>
    <n v="823.08"/>
    <n v="3132.6"/>
    <n v="356.05"/>
    <n v="4311.7299999999996"/>
  </r>
  <r>
    <x v="2"/>
    <x v="1"/>
    <s v="Association Belge des Entreprises de Leasing"/>
    <n v="1578.2"/>
    <n v="1607.63"/>
    <n v="338.49"/>
    <n v="3524.3199999999997"/>
  </r>
  <r>
    <x v="2"/>
    <x v="1"/>
    <s v="Fédération Belge des Loueurs de Véhicules - RENTA"/>
    <m/>
    <m/>
    <m/>
    <n v="0"/>
  </r>
  <r>
    <x v="2"/>
    <x v="2"/>
    <s v="Bulgarian Association for Leasing - BAL"/>
    <n v="152.09"/>
    <n v="483.33"/>
    <n v="1.94"/>
    <n v="637.36"/>
  </r>
  <r>
    <x v="2"/>
    <x v="3"/>
    <s v="Schweizerischer Leasingverband - SLV"/>
    <m/>
    <m/>
    <m/>
    <m/>
  </r>
  <r>
    <x v="2"/>
    <x v="4"/>
    <s v="Czech Leasing and Finance Association - CLFA"/>
    <n v="687.74"/>
    <n v="1367.07"/>
    <n v="86.37"/>
    <n v="2141.1799999999998"/>
  </r>
  <r>
    <x v="2"/>
    <x v="5"/>
    <s v="Bundesverband Deutscher Leasing-Unternehmen e.V. - BDL"/>
    <n v="6292"/>
    <n v="15538"/>
    <n v="380"/>
    <n v="22210"/>
  </r>
  <r>
    <x v="2"/>
    <x v="6"/>
    <s v="Finans og Leasing"/>
    <n v="1106.18"/>
    <n v="2285.75"/>
    <n v="69.760000000000005"/>
    <n v="3461.6900000000005"/>
  </r>
  <r>
    <x v="2"/>
    <x v="7"/>
    <s v="Estonian Leasing Association"/>
    <n v="198"/>
    <n v="482"/>
    <m/>
    <n v="680"/>
  </r>
  <r>
    <x v="2"/>
    <x v="8"/>
    <s v="Asociación Española de Leasing y Renting - AELR"/>
    <n v="2956.24"/>
    <n v="1803.86"/>
    <n v="330.13"/>
    <n v="5090.2299999999996"/>
  </r>
  <r>
    <x v="2"/>
    <x v="8"/>
    <s v="Association Espanola de Renting de Vehiculos - AER"/>
    <m/>
    <n v="2700.76"/>
    <m/>
    <n v="2700.76"/>
  </r>
  <r>
    <x v="2"/>
    <x v="9"/>
    <s v="Federation of Finnish Financial Services - FKL"/>
    <m/>
    <m/>
    <m/>
    <m/>
  </r>
  <r>
    <x v="2"/>
    <x v="10"/>
    <s v="Association francaise des Sociétés Financieres - ASF"/>
    <n v="7315"/>
    <n v="14125"/>
    <n v="2461"/>
    <n v="23901"/>
  </r>
  <r>
    <x v="2"/>
    <x v="10"/>
    <s v="Fédération Nationale des Loueurs de Véhicules - FNLV"/>
    <m/>
    <n v="5718"/>
    <m/>
    <n v="5718"/>
  </r>
  <r>
    <x v="2"/>
    <x v="11"/>
    <s v="Association of Greek Leasing Companies - AGLC"/>
    <n v="136.78"/>
    <n v="37.26"/>
    <n v="42.89"/>
    <n v="216.93"/>
  </r>
  <r>
    <x v="2"/>
    <x v="12"/>
    <s v="Croatian Chamber of Economy - Association of Leasing Companies"/>
    <n v="96.96"/>
    <n v="597.22"/>
    <n v="8.1999999999999993"/>
    <n v="702.38000000000011"/>
  </r>
  <r>
    <x v="2"/>
    <x v="13"/>
    <s v="Hungarian Leasing Association"/>
    <n v="270.44"/>
    <n v="714.82"/>
    <n v="135.22"/>
    <n v="1120.48"/>
  </r>
  <r>
    <x v="2"/>
    <x v="14"/>
    <s v="Associazione Italiana Leasing - ASSILEA and ANIASA"/>
    <n v="6119"/>
    <n v="7906"/>
    <n v="1475"/>
    <n v="15500"/>
  </r>
  <r>
    <x v="2"/>
    <x v="15"/>
    <s v="Association of Lithuanian Banks - Leasing Committee"/>
    <n v="218"/>
    <n v="773"/>
    <n v="1"/>
    <n v="992"/>
  </r>
  <r>
    <x v="2"/>
    <x v="16"/>
    <s v="Finance Latvia Association - Leasing Committee"/>
    <n v="113"/>
    <n v="260"/>
    <m/>
    <n v="373"/>
  </r>
  <r>
    <x v="2"/>
    <x v="17"/>
    <s v="Association Professionnelle des Sociétés de Financement - APSF"/>
    <n v="250.73"/>
    <n v="282.87"/>
    <n v="118.11"/>
    <n v="651.71"/>
  </r>
  <r>
    <x v="2"/>
    <x v="18"/>
    <s v="Nederlandse Vereniging van Leasemaatschappijen - NVL"/>
    <n v="3477"/>
    <m/>
    <m/>
    <n v="3477"/>
  </r>
  <r>
    <x v="2"/>
    <x v="19"/>
    <s v="Finansieringsselskapenes Forening"/>
    <n v="1420.36"/>
    <n v="1874.78"/>
    <n v="7.91"/>
    <n v="3303.0499999999997"/>
  </r>
  <r>
    <x v="2"/>
    <x v="20"/>
    <s v="Polish Leasing Association"/>
    <n v="2936.33"/>
    <n v="5996.37"/>
    <n v="49.73"/>
    <n v="8982.43"/>
  </r>
  <r>
    <x v="2"/>
    <x v="21"/>
    <s v="Associação Portuguesa de Leasing, Factoring e Renting - ALF"/>
    <n v="235"/>
    <n v="788"/>
    <n v="408"/>
    <n v="1431"/>
  </r>
  <r>
    <x v="2"/>
    <x v="22"/>
    <s v="United Leasing Association - ULA"/>
    <m/>
    <m/>
    <m/>
    <n v="0"/>
  </r>
  <r>
    <x v="2"/>
    <x v="23"/>
    <s v="AFINA regrouping Finansbolagens Förening and Svenska Bankföreningen"/>
    <n v="2097.23"/>
    <n v="6933.4"/>
    <n v="6.2"/>
    <n v="9036.83"/>
  </r>
  <r>
    <x v="2"/>
    <x v="24"/>
    <s v="Leasing Committee of the Banking Association of Slovenia"/>
    <m/>
    <m/>
    <m/>
    <m/>
  </r>
  <r>
    <x v="2"/>
    <x v="25"/>
    <s v="Association of Leasing Companies of the Slovak Republic"/>
    <n v="338"/>
    <n v="988"/>
    <n v="33"/>
    <n v="1359"/>
  </r>
  <r>
    <x v="2"/>
    <x v="26"/>
    <s v="Auto Leasing and Rental Companies Association - Tokkder"/>
    <m/>
    <n v="698.62"/>
    <m/>
    <n v="698.62"/>
  </r>
  <r>
    <x v="2"/>
    <x v="26"/>
    <s v="Turkish Association of Financial Institutions - AFI/FKB"/>
    <n v="1352.66"/>
    <n v="329.54"/>
    <n v="131.53"/>
    <n v="1813.73"/>
  </r>
  <r>
    <x v="2"/>
    <x v="27"/>
    <s v="Ukrainian Union of Lessors - UUL"/>
    <m/>
    <m/>
    <m/>
    <m/>
  </r>
  <r>
    <x v="2"/>
    <x v="28"/>
    <s v="Finance and Leasing Association - FLA"/>
    <n v="7878.86"/>
    <n v="35453.68"/>
    <m/>
    <n v="43332.54"/>
  </r>
  <r>
    <x v="3"/>
    <x v="0"/>
    <s v="Verband Österreichischer Leasing-Gesellschaften - VÖL"/>
    <n v="689.72"/>
    <n v="2983.5"/>
    <n v="199.26"/>
    <n v="3872.4800000000005"/>
  </r>
  <r>
    <x v="3"/>
    <x v="1"/>
    <s v="Association Belge des Entreprises de Leasing"/>
    <n v="1277.73"/>
    <n v="1509.01"/>
    <n v="376.52"/>
    <n v="3163.2599999999998"/>
  </r>
  <r>
    <x v="3"/>
    <x v="1"/>
    <s v="Fédération Belge des Loueurs de Véhicules - RENTA"/>
    <m/>
    <n v="1050"/>
    <m/>
    <n v="1050"/>
  </r>
  <r>
    <x v="3"/>
    <x v="2"/>
    <s v="Bulgarian Association for Leasing - BAL"/>
    <n v="136.22999999999999"/>
    <n v="421.55"/>
    <n v="4.4400000000000004"/>
    <n v="562.22"/>
  </r>
  <r>
    <x v="3"/>
    <x v="3"/>
    <s v="Schweizerischer Leasingverband - SLV"/>
    <m/>
    <m/>
    <m/>
    <m/>
  </r>
  <r>
    <x v="3"/>
    <x v="4"/>
    <s v="Czech Leasing and Finance Association - CLFA"/>
    <n v="539.49"/>
    <n v="1187.32"/>
    <n v="64.790000000000006"/>
    <n v="1791.6"/>
  </r>
  <r>
    <x v="3"/>
    <x v="5"/>
    <s v="Bundesverband Deutscher Leasing-Unternehmen e.V. - BDL"/>
    <n v="5936"/>
    <n v="6576"/>
    <n v="744"/>
    <n v="13256"/>
  </r>
  <r>
    <x v="3"/>
    <x v="6"/>
    <s v="Finans og Leasing"/>
    <n v="1135.83"/>
    <n v="2004.48"/>
    <n v="41.01"/>
    <n v="3181.32"/>
  </r>
  <r>
    <x v="3"/>
    <x v="7"/>
    <s v="Estonian Leasing Association"/>
    <n v="183"/>
    <n v="432"/>
    <m/>
    <n v="615"/>
  </r>
  <r>
    <x v="3"/>
    <x v="8"/>
    <s v="Asociación Española de Leasing y Renting - AELR"/>
    <n v="2467.63"/>
    <n v="1567.67"/>
    <n v="491.36"/>
    <n v="4526.66"/>
  </r>
  <r>
    <x v="3"/>
    <x v="8"/>
    <s v="Association Espanola de Renting de Vehiculos - AER"/>
    <m/>
    <n v="3009"/>
    <m/>
    <n v="3009"/>
  </r>
  <r>
    <x v="3"/>
    <x v="9"/>
    <s v="Federation of Finnish Financial Services - FKL"/>
    <m/>
    <m/>
    <m/>
    <m/>
  </r>
  <r>
    <x v="3"/>
    <x v="10"/>
    <s v="Association francaise des Sociétés Financieres - ASF"/>
    <n v="6673"/>
    <n v="14261"/>
    <n v="1889"/>
    <n v="22823"/>
  </r>
  <r>
    <x v="3"/>
    <x v="10"/>
    <s v="Fédération Nationale des Loueurs de Véhicules - FNLV"/>
    <m/>
    <n v="5996"/>
    <m/>
    <n v="5996"/>
  </r>
  <r>
    <x v="3"/>
    <x v="11"/>
    <s v="Association of Greek Leasing Companies - AGLC"/>
    <n v="134.94"/>
    <n v="61.07"/>
    <n v="78.78"/>
    <n v="274.78999999999996"/>
  </r>
  <r>
    <x v="3"/>
    <x v="12"/>
    <s v="Croatian Chamber of Economy - Association of Leasing Companies"/>
    <n v="69.62"/>
    <n v="477.03"/>
    <n v="2.0499999999999998"/>
    <n v="548.69999999999993"/>
  </r>
  <r>
    <x v="3"/>
    <x v="13"/>
    <s v="Hungarian Leasing Association"/>
    <n v="258.57"/>
    <n v="702.19"/>
    <n v="16.05"/>
    <n v="976.81"/>
  </r>
  <r>
    <x v="3"/>
    <x v="14"/>
    <s v="Associazione Italiana Leasing - ASSILEA and ANIASA"/>
    <n v="5208"/>
    <n v="7817"/>
    <n v="1503"/>
    <n v="14528"/>
  </r>
  <r>
    <x v="3"/>
    <x v="15"/>
    <s v="Association of Lithuanian Banks - Leasing Committee"/>
    <n v="240"/>
    <n v="810"/>
    <m/>
    <n v="1050"/>
  </r>
  <r>
    <x v="3"/>
    <x v="16"/>
    <s v="Finance Latvia Association - Leasing Committee"/>
    <n v="100"/>
    <n v="234"/>
    <m/>
    <n v="334"/>
  </r>
  <r>
    <x v="3"/>
    <x v="17"/>
    <s v="Association Professionnelle des Sociétés de Financement - APSF"/>
    <n v="193.67"/>
    <n v="289.3"/>
    <n v="122.7"/>
    <n v="605.67000000000007"/>
  </r>
  <r>
    <x v="3"/>
    <x v="18"/>
    <s v="Nederlandse Vereniging van Leasemaatschappijen - NVL"/>
    <m/>
    <m/>
    <m/>
    <n v="0"/>
  </r>
  <r>
    <x v="3"/>
    <x v="19"/>
    <s v="Finansieringsselskapenes Forening"/>
    <n v="1157.24"/>
    <n v="2187.42"/>
    <n v="4.32"/>
    <n v="3348.98"/>
  </r>
  <r>
    <x v="3"/>
    <x v="20"/>
    <s v="Polish Leasing Association"/>
    <n v="2822.85"/>
    <n v="6052.94"/>
    <n v="60.58"/>
    <n v="8936.369999999999"/>
  </r>
  <r>
    <x v="3"/>
    <x v="21"/>
    <s v="Associação Portuguesa de Leasing, Factoring e Renting - ALF"/>
    <n v="280"/>
    <n v="858"/>
    <n v="360"/>
    <n v="1498"/>
  </r>
  <r>
    <x v="3"/>
    <x v="22"/>
    <s v="United Leasing Association - ULA"/>
    <n v="5698.48"/>
    <n v="4769.3900000000003"/>
    <n v="84.87"/>
    <n v="10552.74"/>
  </r>
  <r>
    <x v="3"/>
    <x v="23"/>
    <s v="AFINA regrouping Finansbolagens Förening and Svenska Bankföreningen"/>
    <n v="2001.1736641221373"/>
    <n v="6580.051247983296"/>
    <n v="5.4366888810943523"/>
    <n v="8586.6616009865284"/>
  </r>
  <r>
    <x v="3"/>
    <x v="24"/>
    <s v="Leasing Committee of the Banking Association of Slovenia"/>
    <n v="77.7"/>
    <n v="624.23"/>
    <n v="3.4"/>
    <n v="705.33"/>
  </r>
  <r>
    <x v="3"/>
    <x v="25"/>
    <s v="Association of Leasing Companies of the Slovak Republic"/>
    <n v="291"/>
    <n v="842"/>
    <n v="18"/>
    <n v="1151"/>
  </r>
  <r>
    <x v="3"/>
    <x v="26"/>
    <s v="Auto Leasing and Rental Companies Association - Tokkder"/>
    <m/>
    <n v="749.58"/>
    <m/>
    <n v="749.58"/>
  </r>
  <r>
    <x v="3"/>
    <x v="26"/>
    <s v="Turkish Association of Financial Institutions - AFI/FKB"/>
    <n v="1278.95"/>
    <n v="224.94"/>
    <n v="89.89"/>
    <n v="1593.7800000000002"/>
  </r>
  <r>
    <x v="3"/>
    <x v="27"/>
    <s v="Ukrainian Union of Lessors - UUL"/>
    <n v="242.96"/>
    <n v="232.23"/>
    <n v="0.09"/>
    <n v="475.28"/>
  </r>
  <r>
    <x v="3"/>
    <x v="28"/>
    <s v="Finance and Leasing Association - FLA"/>
    <n v="7355.91"/>
    <n v="30862.55"/>
    <m/>
    <n v="38218.46"/>
  </r>
  <r>
    <x v="4"/>
    <x v="0"/>
    <s v="Verband Österreichischer Leasing-Gesellschaften - VÖL"/>
    <n v="715.96"/>
    <n v="2502.75"/>
    <n v="476.8"/>
    <n v="3695.51"/>
  </r>
  <r>
    <x v="4"/>
    <x v="1"/>
    <s v="Association Belge des Entreprises de Leasing"/>
    <n v="1351.89"/>
    <n v="1089.48"/>
    <n v="292.06"/>
    <n v="2733.43"/>
  </r>
  <r>
    <x v="4"/>
    <x v="1"/>
    <s v="Fédération Belge des Loueurs de Véhicules - RENTA"/>
    <m/>
    <n v="1125"/>
    <m/>
    <n v="1125"/>
  </r>
  <r>
    <x v="4"/>
    <x v="2"/>
    <s v="Bulgarian Association for Leasing - BAL"/>
    <n v="105.96"/>
    <n v="312.70999999999998"/>
    <n v="1.56"/>
    <n v="420.22999999999996"/>
  </r>
  <r>
    <x v="4"/>
    <x v="3"/>
    <s v="Schweizerischer Leasingverband - SLV"/>
    <m/>
    <m/>
    <m/>
    <m/>
  </r>
  <r>
    <x v="4"/>
    <x v="4"/>
    <s v="Czech Leasing and Finance Association - CLFA"/>
    <n v="517.07000000000005"/>
    <n v="957.01"/>
    <n v="24.64"/>
    <n v="1498.72"/>
  </r>
  <r>
    <x v="4"/>
    <x v="5"/>
    <s v="Bundesverband Deutscher Leasing-Unternehmen e.V. - BDL"/>
    <n v="5769"/>
    <n v="6143"/>
    <n v="112"/>
    <n v="12024"/>
  </r>
  <r>
    <x v="4"/>
    <x v="6"/>
    <s v="Finans og Leasing"/>
    <n v="982.49"/>
    <n v="1687.01"/>
    <n v="102.88"/>
    <n v="2772.38"/>
  </r>
  <r>
    <x v="4"/>
    <x v="7"/>
    <s v="Estonian Leasing Association"/>
    <n v="130"/>
    <n v="294"/>
    <m/>
    <n v="424"/>
  </r>
  <r>
    <x v="4"/>
    <x v="8"/>
    <s v="Asociación Española de Leasing y Renting - AELR"/>
    <n v="2028.18"/>
    <n v="1025.28"/>
    <n v="398.11"/>
    <n v="3451.57"/>
  </r>
  <r>
    <x v="4"/>
    <x v="8"/>
    <s v="Association Espanola de Renting de Vehiculos - AER"/>
    <m/>
    <n v="1766"/>
    <m/>
    <n v="1766"/>
  </r>
  <r>
    <x v="4"/>
    <x v="9"/>
    <s v="Federation of Finnish Financial Services - FKL"/>
    <m/>
    <m/>
    <m/>
    <m/>
  </r>
  <r>
    <x v="4"/>
    <x v="10"/>
    <s v="Association francaise des Sociétés Financieres - ASF"/>
    <n v="6141"/>
    <n v="10347"/>
    <n v="1533"/>
    <n v="18021"/>
  </r>
  <r>
    <x v="4"/>
    <x v="10"/>
    <s v="Fédération Nationale des Loueurs de Véhicules - FNLV"/>
    <m/>
    <n v="5608"/>
    <m/>
    <n v="5608"/>
  </r>
  <r>
    <x v="4"/>
    <x v="11"/>
    <s v="Association of Greek Leasing Companies - AGLC"/>
    <n v="106.79"/>
    <n v="59.71"/>
    <n v="54.66"/>
    <n v="221.16"/>
  </r>
  <r>
    <x v="4"/>
    <x v="12"/>
    <s v="Croatian Chamber of Economy - Association of Leasing Companies"/>
    <n v="79.16"/>
    <n v="332.28"/>
    <n v="2.4500000000000002"/>
    <n v="413.88999999999993"/>
  </r>
  <r>
    <x v="4"/>
    <x v="13"/>
    <s v="Hungarian Leasing Association"/>
    <n v="236.57"/>
    <n v="492.13"/>
    <n v="14.68"/>
    <n v="743.38"/>
  </r>
  <r>
    <x v="4"/>
    <x v="14"/>
    <s v="Associazione Italiana Leasing - ASSILEA and ANIASA"/>
    <n v="3459"/>
    <n v="4929"/>
    <n v="1242"/>
    <n v="9630"/>
  </r>
  <r>
    <x v="4"/>
    <x v="15"/>
    <s v="Association of Lithuanian Banks - Leasing Committee"/>
    <n v="184"/>
    <n v="425"/>
    <m/>
    <n v="609"/>
  </r>
  <r>
    <x v="4"/>
    <x v="16"/>
    <s v="Finance Latvia Association - Leasing Committee"/>
    <n v="70"/>
    <n v="159"/>
    <m/>
    <n v="229"/>
  </r>
  <r>
    <x v="4"/>
    <x v="17"/>
    <s v="Association Professionnelle des Sociétés de Financement - APSF"/>
    <m/>
    <m/>
    <m/>
    <n v="0"/>
  </r>
  <r>
    <x v="4"/>
    <x v="18"/>
    <s v="Nederlandse Vereniging van Leasemaatschappijen - NVL"/>
    <m/>
    <m/>
    <m/>
    <n v="0"/>
  </r>
  <r>
    <x v="4"/>
    <x v="19"/>
    <s v="Finansieringsselskapenes Forening"/>
    <n v="1079.94"/>
    <n v="1562.68"/>
    <n v="6.52"/>
    <n v="2649.14"/>
  </r>
  <r>
    <x v="4"/>
    <x v="20"/>
    <s v="Polish Leasing Association"/>
    <n v="2365.61"/>
    <n v="4276.38"/>
    <n v="101.41"/>
    <n v="6743.4"/>
  </r>
  <r>
    <x v="4"/>
    <x v="21"/>
    <s v="Associação Portuguesa de Leasing, Factoring e Renting - ALF"/>
    <n v="265"/>
    <n v="750"/>
    <n v="378"/>
    <n v="1393"/>
  </r>
  <r>
    <x v="4"/>
    <x v="22"/>
    <s v="United Leasing Association - ULA"/>
    <n v="4160.8500000000004"/>
    <n v="3224.92"/>
    <n v="44.32"/>
    <n v="7430.09"/>
  </r>
  <r>
    <x v="4"/>
    <x v="23"/>
    <s v="AFINA regrouping Finansbolagens Förening and Svenska Bankföreningen"/>
    <n v="1856.6"/>
    <n v="4464.53"/>
    <n v="1.03"/>
    <n v="6322.1599999999989"/>
  </r>
  <r>
    <x v="4"/>
    <x v="24"/>
    <s v="Leasing Committee of the Banking Association of Slovenia"/>
    <n v="47.29"/>
    <n v="466.32"/>
    <n v="2.79"/>
    <n v="516.4"/>
  </r>
  <r>
    <x v="4"/>
    <x v="25"/>
    <s v="Association of Leasing Companies of the Slovak Republic"/>
    <n v="291"/>
    <n v="665"/>
    <n v="25"/>
    <n v="981"/>
  </r>
  <r>
    <x v="4"/>
    <x v="26"/>
    <s v="Auto Leasing and Rental Companies Association - Tokkder"/>
    <m/>
    <n v="296.82"/>
    <m/>
    <n v="296.82"/>
  </r>
  <r>
    <x v="4"/>
    <x v="26"/>
    <s v="Turkish Association of Financial Institutions - AFI/FKB"/>
    <n v="868.25"/>
    <n v="170.07"/>
    <n v="277.26"/>
    <n v="1315.58"/>
  </r>
  <r>
    <x v="4"/>
    <x v="27"/>
    <s v="Ukrainian Union of Lessors - UUL"/>
    <n v="6.08"/>
    <n v="287.55"/>
    <m/>
    <n v="293.63"/>
  </r>
  <r>
    <x v="4"/>
    <x v="28"/>
    <s v="Finance and Leasing Association - FLA"/>
    <n v="6909.01"/>
    <n v="21707.82"/>
    <m/>
    <n v="28616.83"/>
  </r>
  <r>
    <x v="5"/>
    <x v="0"/>
    <s v="Verband Österreichischer Leasing-Gesellschaften - VÖL"/>
    <n v="836.08"/>
    <n v="3405.21"/>
    <n v="183.18"/>
    <n v="4424.47"/>
  </r>
  <r>
    <x v="5"/>
    <x v="1"/>
    <s v="Association Belge des Entreprises de Leasing"/>
    <n v="1490.07"/>
    <n v="1335.85"/>
    <n v="296.86"/>
    <n v="3122.78"/>
  </r>
  <r>
    <x v="5"/>
    <x v="1"/>
    <s v="Fédération Belge des Loueurs de Véhicules - RENTA"/>
    <m/>
    <n v="1595"/>
    <m/>
    <n v="1595"/>
  </r>
  <r>
    <x v="5"/>
    <x v="2"/>
    <s v="Bulgarian Association for Leasing - BAL"/>
    <n v="120.8"/>
    <n v="452.27"/>
    <n v="2.7"/>
    <n v="575.77"/>
  </r>
  <r>
    <x v="5"/>
    <x v="3"/>
    <s v="Schweizerischer Leasingverband - SLV"/>
    <n v="701.23"/>
    <n v="4389.75"/>
    <m/>
    <n v="5090.9799999999996"/>
  </r>
  <r>
    <x v="5"/>
    <x v="4"/>
    <s v="Czech Leasing and Finance Association - CLFA"/>
    <n v="601.4"/>
    <n v="1230.02"/>
    <n v="52.12"/>
    <n v="1883.54"/>
  </r>
  <r>
    <x v="5"/>
    <x v="5"/>
    <s v="Bundesverband Deutscher Leasing-Unternehmen e.V. - BDL"/>
    <n v="10500"/>
    <n v="15728"/>
    <n v="590"/>
    <n v="26818"/>
  </r>
  <r>
    <x v="5"/>
    <x v="6"/>
    <s v="Finans og Leasing"/>
    <n v="1296.83"/>
    <n v="3257.96"/>
    <n v="104.62"/>
    <n v="4659.41"/>
  </r>
  <r>
    <x v="5"/>
    <x v="7"/>
    <s v="Estonian Leasing Association"/>
    <n v="170"/>
    <n v="456"/>
    <m/>
    <n v="626"/>
  </r>
  <r>
    <x v="5"/>
    <x v="8"/>
    <s v="Asociación Española de Leasing y Renting - AELR"/>
    <n v="3335.34"/>
    <n v="1778.95"/>
    <n v="505.36"/>
    <n v="5619.65"/>
  </r>
  <r>
    <x v="5"/>
    <x v="8"/>
    <s v="Association Espanola de Renting de Vehiculos - AER"/>
    <m/>
    <n v="3523"/>
    <m/>
    <n v="3523"/>
  </r>
  <r>
    <x v="5"/>
    <x v="9"/>
    <s v="Federation of Finnish Financial Services - FKL"/>
    <m/>
    <m/>
    <m/>
    <m/>
  </r>
  <r>
    <x v="5"/>
    <x v="10"/>
    <s v="Association francaise des Sociétés Financieres - ASF"/>
    <n v="6924.31"/>
    <n v="13226.05"/>
    <n v="1937.94"/>
    <n v="22088.3"/>
  </r>
  <r>
    <x v="5"/>
    <x v="10"/>
    <s v="Fédération Nationale des Loueurs de Véhicules - FNLV"/>
    <m/>
    <n v="7388"/>
    <m/>
    <n v="7388"/>
  </r>
  <r>
    <x v="5"/>
    <x v="11"/>
    <s v="Association of Greek Leasing Companies - AGLC"/>
    <n v="124.92"/>
    <n v="58.78"/>
    <n v="13.83"/>
    <n v="197.53"/>
  </r>
  <r>
    <x v="5"/>
    <x v="12"/>
    <s v="Croatian Chamber of Economy - Association of Leasing Companies"/>
    <m/>
    <m/>
    <m/>
    <n v="0"/>
  </r>
  <r>
    <x v="5"/>
    <x v="13"/>
    <s v="Hungarian Leasing Association"/>
    <n v="302.88"/>
    <n v="855.63"/>
    <n v="11.78"/>
    <n v="1170.29"/>
  </r>
  <r>
    <x v="5"/>
    <x v="14"/>
    <s v="Associazione Italiana Leasing - ASSILEA and ANIASA"/>
    <n v="4655.26"/>
    <n v="7766.91"/>
    <n v="1871.12"/>
    <n v="14293.29"/>
  </r>
  <r>
    <x v="5"/>
    <x v="15"/>
    <s v="Association of Lithuanian Banks - Leasing Committee"/>
    <n v="135"/>
    <n v="836"/>
    <n v="4"/>
    <n v="975"/>
  </r>
  <r>
    <x v="5"/>
    <x v="16"/>
    <s v="Finance Latvia Association - Leasing Committee"/>
    <n v="126"/>
    <n v="286"/>
    <m/>
    <n v="412"/>
  </r>
  <r>
    <x v="5"/>
    <x v="17"/>
    <s v="Association Professionnelle des Sociétés de Financement - APSF"/>
    <m/>
    <m/>
    <m/>
    <n v="0"/>
  </r>
  <r>
    <x v="5"/>
    <x v="18"/>
    <s v="Nederlandse Vereniging van Leasemaatschappijen - NVL"/>
    <m/>
    <m/>
    <m/>
    <n v="0"/>
  </r>
  <r>
    <x v="5"/>
    <x v="19"/>
    <s v="Finansieringsselskapenes Forening"/>
    <n v="1250.94"/>
    <n v="2060.69"/>
    <n v="3.8"/>
    <n v="3315.4300000000003"/>
  </r>
  <r>
    <x v="5"/>
    <x v="20"/>
    <s v="Polish Leasing Association"/>
    <n v="2681.72"/>
    <n v="6246.06"/>
    <n v="86.41"/>
    <n v="9014.19"/>
  </r>
  <r>
    <x v="5"/>
    <x v="21"/>
    <s v="Associação Portuguesa de Leasing, Factoring e Renting - ALF"/>
    <n v="367"/>
    <n v="1019"/>
    <n v="430"/>
    <n v="1816"/>
  </r>
  <r>
    <x v="5"/>
    <x v="22"/>
    <s v="United Leasing Association - ULA"/>
    <n v="5484.78"/>
    <n v="3356.21"/>
    <n v="1059.33"/>
    <n v="9900.32"/>
  </r>
  <r>
    <x v="5"/>
    <x v="23"/>
    <s v="AFINA regrouping Finansbolagens Förening and Svenska Bankföreningen"/>
    <n v="1972.15"/>
    <n v="4932.12"/>
    <n v="2.5"/>
    <n v="6906.77"/>
  </r>
  <r>
    <x v="5"/>
    <x v="24"/>
    <s v="Leasing Committee of the Banking Association of Slovenia"/>
    <n v="63.59"/>
    <n v="608.59"/>
    <n v="6.04"/>
    <n v="678.22"/>
  </r>
  <r>
    <x v="5"/>
    <x v="25"/>
    <s v="Association of Leasing Companies of the Slovak Republic"/>
    <n v="325.77999999999997"/>
    <n v="913.65"/>
    <n v="23.49"/>
    <n v="1262.9199999999998"/>
  </r>
  <r>
    <x v="5"/>
    <x v="26"/>
    <s v="Auto Leasing and Rental Companies Association - Tokkder"/>
    <m/>
    <n v="259.67"/>
    <m/>
    <n v="259.67"/>
  </r>
  <r>
    <x v="5"/>
    <x v="26"/>
    <s v="Turkish Association of Financial Institutions - AFI/FKB"/>
    <n v="601.98"/>
    <n v="142.05000000000001"/>
    <n v="232.42"/>
    <n v="976.44999999999993"/>
  </r>
  <r>
    <x v="5"/>
    <x v="27"/>
    <s v="Ukrainian Union of Lessors - UUL"/>
    <n v="173.94"/>
    <n v="103.09"/>
    <m/>
    <n v="277.02999999999997"/>
  </r>
  <r>
    <x v="5"/>
    <x v="28"/>
    <s v="Finance and Leasing Association - FLA"/>
    <n v="7220.73"/>
    <n v="33401.050000000003"/>
    <m/>
    <n v="40621.78"/>
  </r>
  <r>
    <x v="6"/>
    <x v="0"/>
    <s v="Verband Österreichischer Leasing-Gesellschaften - VÖL"/>
    <n v="765.1"/>
    <n v="2876.7"/>
    <n v="234.9"/>
    <n v="3876.7"/>
  </r>
  <r>
    <x v="6"/>
    <x v="1"/>
    <s v="Association Belge des Entreprises de Leasing"/>
    <n v="1409.1"/>
    <n v="1269.4000000000001"/>
    <n v="333.7"/>
    <n v="3012.2"/>
  </r>
  <r>
    <x v="6"/>
    <x v="1"/>
    <s v="Fédération Belge des Loueurs de Véhicules - RENTA"/>
    <m/>
    <n v="1500"/>
    <m/>
    <n v="1500"/>
  </r>
  <r>
    <x v="6"/>
    <x v="2"/>
    <s v="Bulgarian Association for Leasing - BAL"/>
    <n v="106"/>
    <n v="403.9"/>
    <n v="2.7"/>
    <n v="512.6"/>
  </r>
  <r>
    <x v="6"/>
    <x v="3"/>
    <s v="Schweizerischer Leasingverband - SLV"/>
    <n v="614.9"/>
    <n v="3915"/>
    <m/>
    <n v="4529.8999999999996"/>
  </r>
  <r>
    <x v="6"/>
    <x v="4"/>
    <s v="Czech Leasing and Finance Association - CLFA"/>
    <n v="548.6"/>
    <n v="1564.8"/>
    <n v="65.5"/>
    <n v="2178.9"/>
  </r>
  <r>
    <x v="6"/>
    <x v="5"/>
    <s v="Bundesverband Deutscher Leasing-Unternehmen e.V. - BDL"/>
    <n v="9908"/>
    <n v="13760"/>
    <n v="304"/>
    <n v="23972"/>
  </r>
  <r>
    <x v="6"/>
    <x v="6"/>
    <s v="Finans og Leasing"/>
    <n v="894.8"/>
    <n v="3522.9"/>
    <n v="55.7"/>
    <n v="4473.3999999999996"/>
  </r>
  <r>
    <x v="6"/>
    <x v="7"/>
    <s v="Estonian Leasing Association"/>
    <n v="193"/>
    <n v="470"/>
    <m/>
    <n v="663"/>
  </r>
  <r>
    <x v="6"/>
    <x v="8"/>
    <s v="Asociación Española de Leasing y Renting - AELR"/>
    <n v="2790.9"/>
    <n v="1795.2"/>
    <n v="405.1"/>
    <n v="4991.2000000000007"/>
  </r>
  <r>
    <x v="6"/>
    <x v="8"/>
    <s v="Association Espanola de Renting de Vehiculos - AER"/>
    <m/>
    <n v="2851"/>
    <m/>
    <n v="2851"/>
  </r>
  <r>
    <x v="6"/>
    <x v="9"/>
    <s v="Federation of Finnish Financial Services - FKL"/>
    <m/>
    <m/>
    <m/>
    <m/>
  </r>
  <r>
    <x v="6"/>
    <x v="10"/>
    <s v="Association francaise des Sociétés Financieres - ASF"/>
    <n v="6351.7"/>
    <n v="12481.8"/>
    <n v="1647.5"/>
    <n v="20481"/>
  </r>
  <r>
    <x v="6"/>
    <x v="10"/>
    <s v="Fédération Nationale des Loueurs de Véhicules - FNLV"/>
    <m/>
    <n v="6578"/>
    <m/>
    <n v="6578"/>
  </r>
  <r>
    <x v="6"/>
    <x v="11"/>
    <s v="Association of Greek Leasing Companies - AGLC"/>
    <n v="87.1"/>
    <n v="55.3"/>
    <n v="14.3"/>
    <n v="156.69999999999999"/>
  </r>
  <r>
    <x v="6"/>
    <x v="12"/>
    <s v="Croatian Chamber of Economy - Association of Leasing Companies"/>
    <m/>
    <m/>
    <m/>
    <n v="0"/>
  </r>
  <r>
    <x v="6"/>
    <x v="13"/>
    <s v="Hungarian Leasing Association"/>
    <n v="249.1"/>
    <n v="786.5"/>
    <n v="3"/>
    <n v="1038.5999999999999"/>
  </r>
  <r>
    <x v="6"/>
    <x v="14"/>
    <s v="Associazione Italiana Leasing - ASSILEA and ANIASA"/>
    <n v="4448.8999999999996"/>
    <n v="9150.1"/>
    <n v="2052.4"/>
    <n v="15651.4"/>
  </r>
  <r>
    <x v="6"/>
    <x v="15"/>
    <s v="Association of Lithuanian Banks - Leasing Committee"/>
    <n v="170"/>
    <n v="834"/>
    <n v="15"/>
    <n v="1019"/>
  </r>
  <r>
    <x v="6"/>
    <x v="16"/>
    <s v="Finance Latvia Association - Leasing Committee"/>
    <n v="176"/>
    <n v="426"/>
    <m/>
    <n v="602"/>
  </r>
  <r>
    <x v="6"/>
    <x v="17"/>
    <s v="Association Professionnelle des Sociétés de Financement - APSF"/>
    <n v="225.6"/>
    <n v="556.79999999999995"/>
    <n v="112.7"/>
    <n v="895.1"/>
  </r>
  <r>
    <x v="6"/>
    <x v="18"/>
    <s v="Nederlandse Vereniging van Leasemaatschappijen - NVL"/>
    <n v="3459"/>
    <m/>
    <m/>
    <n v="3459"/>
  </r>
  <r>
    <x v="6"/>
    <x v="19"/>
    <s v="Finansieringsselskapenes Forening"/>
    <n v="1278.9000000000001"/>
    <n v="2129"/>
    <n v="4.4000000000000004"/>
    <n v="3412.3"/>
  </r>
  <r>
    <x v="6"/>
    <x v="20"/>
    <s v="Polish Leasing Association"/>
    <n v="2617.6"/>
    <n v="6448.3"/>
    <n v="65"/>
    <n v="9130.9"/>
  </r>
  <r>
    <x v="6"/>
    <x v="21"/>
    <s v="Associação Portuguesa de Leasing, Factoring e Renting - ALF"/>
    <n v="393"/>
    <n v="1053"/>
    <n v="399"/>
    <n v="1845"/>
  </r>
  <r>
    <x v="6"/>
    <x v="22"/>
    <s v="United Leasing Association - ULA"/>
    <m/>
    <m/>
    <m/>
    <n v="0"/>
  </r>
  <r>
    <x v="6"/>
    <x v="23"/>
    <s v="AFINA regrouping Finansbolagens Förening and Svenska Bankföreningen"/>
    <n v="1373.1"/>
    <n v="4283.3"/>
    <n v="3.4"/>
    <n v="5659.7999999999993"/>
  </r>
  <r>
    <x v="6"/>
    <x v="24"/>
    <s v="Leasing Committee of the Banking Association of Slovenia"/>
    <n v="58.9"/>
    <n v="621.29999999999995"/>
    <n v="6.4"/>
    <n v="686.59999999999991"/>
  </r>
  <r>
    <x v="6"/>
    <x v="25"/>
    <s v="Association of Leasing Companies of the Slovak Republic"/>
    <n v="258.8"/>
    <n v="894.6"/>
    <n v="23"/>
    <n v="1176.4000000000001"/>
  </r>
  <r>
    <x v="6"/>
    <x v="26"/>
    <s v="Auto Leasing and Rental Companies Association - Tokkder"/>
    <m/>
    <n v="926.1"/>
    <m/>
    <n v="926.1"/>
  </r>
  <r>
    <x v="6"/>
    <x v="26"/>
    <s v="Turkish Association of Financial Institutions - AFI/FKB"/>
    <n v="1805.2"/>
    <n v="144.30000000000001"/>
    <n v="386"/>
    <n v="2335.5"/>
  </r>
  <r>
    <x v="6"/>
    <x v="27"/>
    <s v="Ukrainian Union of Lessors - UUL"/>
    <m/>
    <m/>
    <m/>
    <n v="0"/>
  </r>
  <r>
    <x v="6"/>
    <x v="28"/>
    <s v="Finance and Leasing Association - FLA"/>
    <n v="6698.2"/>
    <n v="31798.799999999999"/>
    <m/>
    <n v="38497"/>
  </r>
  <r>
    <x v="7"/>
    <x v="0"/>
    <s v="Verband Österreichischer Leasing-Gesellschaften - VÖL"/>
    <n v="669.4"/>
    <n v="2539.6"/>
    <n v="157.19999999999999"/>
    <n v="3366.2"/>
  </r>
  <r>
    <x v="7"/>
    <x v="1"/>
    <s v="Association Belge des Entreprises de Leasing"/>
    <n v="1198.0999999999999"/>
    <n v="1445.2"/>
    <n v="218.1"/>
    <n v="2861.4"/>
  </r>
  <r>
    <x v="7"/>
    <x v="1"/>
    <s v="Fédération Belge des Loueurs de Véhicules - RENTA"/>
    <m/>
    <n v="1438"/>
    <m/>
    <n v="1438"/>
  </r>
  <r>
    <x v="7"/>
    <x v="2"/>
    <s v="Bulgarian Association for Leasing - BAL"/>
    <n v="97.7"/>
    <n v="318.8"/>
    <n v="5.7"/>
    <n v="422.2"/>
  </r>
  <r>
    <x v="7"/>
    <x v="3"/>
    <s v="Schweizerischer Leasingverband - SLV"/>
    <n v="578.20000000000005"/>
    <n v="4128.3999999999996"/>
    <n v="0"/>
    <n v="4706.5999999999995"/>
  </r>
  <r>
    <x v="7"/>
    <x v="4"/>
    <s v="Czech Leasing and Finance Association - CLFA"/>
    <n v="264.8"/>
    <n v="880.5"/>
    <n v="35.5"/>
    <n v="1180.8"/>
  </r>
  <r>
    <x v="7"/>
    <x v="5"/>
    <s v="Bundesverband Deutscher Leasing-Unternehmen e.V. - BDL"/>
    <n v="10208"/>
    <n v="15132"/>
    <n v="170"/>
    <n v="25510"/>
  </r>
  <r>
    <x v="7"/>
    <x v="6"/>
    <s v="Finans og Leasing"/>
    <n v="909.5"/>
    <n v="3462.8"/>
    <n v="211.1"/>
    <n v="4583.4000000000005"/>
  </r>
  <r>
    <x v="7"/>
    <x v="7"/>
    <s v="Estonian Leasing Association"/>
    <n v="200"/>
    <n v="428"/>
    <n v="0"/>
    <n v="628"/>
  </r>
  <r>
    <x v="7"/>
    <x v="8"/>
    <s v="Asociación Española de Leasing y Renting - AELR"/>
    <n v="2446"/>
    <n v="1977.7"/>
    <n v="592.6"/>
    <n v="5016.3"/>
  </r>
  <r>
    <x v="7"/>
    <x v="8"/>
    <s v="Association Espanola de Renting de Vehiculos - AER"/>
    <m/>
    <n v="2653.2"/>
    <m/>
    <n v="2653.2"/>
  </r>
  <r>
    <x v="7"/>
    <x v="9"/>
    <s v="Federation of Finnish Financial Services - FKL"/>
    <m/>
    <m/>
    <m/>
    <m/>
  </r>
  <r>
    <x v="7"/>
    <x v="10"/>
    <s v="Association francaise des Sociétés Financieres - ASF"/>
    <n v="6006.9"/>
    <n v="11106.6"/>
    <n v="1739.1"/>
    <n v="18852.599999999999"/>
  </r>
  <r>
    <x v="7"/>
    <x v="10"/>
    <s v="Fédération Nationale des Loueurs de Véhicules - FNLV"/>
    <m/>
    <n v="5637"/>
    <m/>
    <n v="5637"/>
  </r>
  <r>
    <x v="7"/>
    <x v="11"/>
    <s v="Association of Greek Leasing Companies - AGLC"/>
    <n v="94.2"/>
    <n v="50.7"/>
    <n v="121.1"/>
    <n v="266"/>
  </r>
  <r>
    <x v="7"/>
    <x v="12"/>
    <s v="Croatian Chamber of Economy - Association of Leasing Companies"/>
    <m/>
    <m/>
    <m/>
    <n v="0"/>
  </r>
  <r>
    <x v="7"/>
    <x v="13"/>
    <s v="Hungarian Leasing Association"/>
    <n v="249.9"/>
    <n v="646.4"/>
    <n v="1.5"/>
    <n v="897.8"/>
  </r>
  <r>
    <x v="7"/>
    <x v="14"/>
    <s v="Associazione Italiana Leasing - ASSILEA and ANIASA"/>
    <n v="3773"/>
    <n v="3881"/>
    <n v="1952"/>
    <n v="9606"/>
  </r>
  <r>
    <x v="7"/>
    <x v="15"/>
    <s v="Association of Lithuanian Banks - Leasing Committee"/>
    <n v="133"/>
    <n v="669"/>
    <n v="8"/>
    <n v="810"/>
  </r>
  <r>
    <x v="7"/>
    <x v="16"/>
    <s v="Finance Latvia Association - Leasing Committee"/>
    <n v="105.5"/>
    <n v="284.8"/>
    <m/>
    <n v="390.3"/>
  </r>
  <r>
    <x v="7"/>
    <x v="17"/>
    <s v="Association Professionnelle des Sociétés de Financement - APSF"/>
    <n v="252.8"/>
    <n v="506.8"/>
    <n v="126.8"/>
    <n v="886.4"/>
  </r>
  <r>
    <x v="7"/>
    <x v="18"/>
    <s v="Nederlandse Vereniging van Leasemaatschappijen - NVL"/>
    <m/>
    <m/>
    <m/>
    <n v="0"/>
  </r>
  <r>
    <x v="7"/>
    <x v="19"/>
    <s v="Finansieringsselskapenes Forening"/>
    <n v="1151.9000000000001"/>
    <n v="2110.4"/>
    <n v="29"/>
    <n v="3291.3"/>
  </r>
  <r>
    <x v="7"/>
    <x v="20"/>
    <s v="Polish Leasing Association"/>
    <n v="2104"/>
    <n v="5132.1000000000004"/>
    <n v="87.8"/>
    <n v="7323.9000000000005"/>
  </r>
  <r>
    <x v="7"/>
    <x v="21"/>
    <s v="Associação Portuguesa de Leasing, Factoring e Renting - ALF"/>
    <n v="293"/>
    <n v="875"/>
    <n v="395"/>
    <n v="1563"/>
  </r>
  <r>
    <x v="7"/>
    <x v="22"/>
    <s v="United Leasing Association - ULA"/>
    <n v="3995.3"/>
    <n v="2211.9"/>
    <n v="34.9"/>
    <n v="6242.1"/>
  </r>
  <r>
    <x v="7"/>
    <x v="23"/>
    <s v="AFINA regrouping Finansbolagens Förening and Svenska Bankföreningen"/>
    <n v="2094.1"/>
    <n v="6214.4"/>
    <n v="3.4"/>
    <n v="8311.9"/>
  </r>
  <r>
    <x v="7"/>
    <x v="24"/>
    <s v="Leasing Committee of the Banking Association of Slovenia"/>
    <n v="55"/>
    <n v="564.29999999999995"/>
    <n v="40.299999999999997"/>
    <n v="659.59999999999991"/>
  </r>
  <r>
    <x v="7"/>
    <x v="25"/>
    <s v="Association of Leasing Companies of the Slovak Republic"/>
    <n v="217"/>
    <n v="888"/>
    <n v="20"/>
    <n v="1125"/>
  </r>
  <r>
    <x v="7"/>
    <x v="26"/>
    <s v="Auto Leasing and Rental Companies Association - Tokkder"/>
    <m/>
    <n v="1157.2"/>
    <m/>
    <n v="1157.2"/>
  </r>
  <r>
    <x v="7"/>
    <x v="26"/>
    <s v="Turkish Association of Financial Institutions - AFI/FKB"/>
    <n v="1970.5"/>
    <n v="178.7"/>
    <n v="722.9"/>
    <n v="2872.1"/>
  </r>
  <r>
    <x v="7"/>
    <x v="27"/>
    <s v="Ukrainian Union of Lessors - UUL"/>
    <m/>
    <m/>
    <m/>
    <n v="0"/>
  </r>
  <r>
    <x v="7"/>
    <x v="28"/>
    <s v="Finance and Leasing Association - FLA"/>
    <n v="7081.5"/>
    <n v="31979.200000000001"/>
    <n v="0"/>
    <n v="39060.699999999997"/>
  </r>
  <r>
    <x v="8"/>
    <x v="0"/>
    <s v="Verband Österreichischer Leasing-Gesellschaften - VÖL"/>
    <n v="696"/>
    <n v="2326"/>
    <n v="150"/>
    <n v="3172"/>
  </r>
  <r>
    <x v="8"/>
    <x v="1"/>
    <s v="Association Belge des Entreprises de Leasing"/>
    <n v="1444.5"/>
    <n v="1191.5999999999999"/>
    <n v="408.5"/>
    <n v="3044.6"/>
  </r>
  <r>
    <x v="8"/>
    <x v="1"/>
    <s v="Fédération Belge des Loueurs de Véhicules - RENTA"/>
    <m/>
    <n v="1285"/>
    <n v="0"/>
    <n v="1285"/>
  </r>
  <r>
    <x v="8"/>
    <x v="2"/>
    <s v="Bulgarian Association for Leasing - BAL"/>
    <n v="83.8"/>
    <n v="285"/>
    <n v="4.8"/>
    <n v="373.6"/>
  </r>
  <r>
    <x v="8"/>
    <x v="3"/>
    <s v="Schweizerischer Leasingverband - SLV"/>
    <n v="572.1"/>
    <n v="4095.6"/>
    <n v="0"/>
    <n v="4667.7"/>
  </r>
  <r>
    <x v="8"/>
    <x v="4"/>
    <s v="Czech Leasing and Finance Association - CLFA"/>
    <n v="265.39999999999998"/>
    <n v="838.9"/>
    <n v="83"/>
    <n v="1187.3"/>
  </r>
  <r>
    <x v="8"/>
    <x v="5"/>
    <s v="Bundesverband Deutscher Leasing-Unternehmen e.V. - BDL"/>
    <n v="10331"/>
    <n v="15132"/>
    <n v="170"/>
    <n v="25633"/>
  </r>
  <r>
    <x v="8"/>
    <x v="6"/>
    <s v="Finans og Leasing"/>
    <n v="963.8"/>
    <n v="3251.2"/>
    <n v="66.400000000000006"/>
    <n v="4281.3999999999996"/>
  </r>
  <r>
    <x v="8"/>
    <x v="7"/>
    <s v="Estonian Leasing Association"/>
    <n v="200"/>
    <n v="367"/>
    <n v="0"/>
    <n v="567"/>
  </r>
  <r>
    <x v="8"/>
    <x v="8"/>
    <s v="Asociación Española de Leasing y Renting - AELR"/>
    <n v="1783.7"/>
    <n v="2058.6"/>
    <n v="410"/>
    <n v="4252.3"/>
  </r>
  <r>
    <x v="8"/>
    <x v="8"/>
    <s v="Association Espanola de Renting de Vehiculos - AER"/>
    <m/>
    <n v="2149"/>
    <n v="0"/>
    <n v="2149"/>
  </r>
  <r>
    <x v="8"/>
    <x v="9"/>
    <s v="Federation of Finnish Financial Services - FKL"/>
    <n v="1072"/>
    <n v="1089"/>
    <m/>
    <n v="2161"/>
  </r>
  <r>
    <x v="8"/>
    <x v="10"/>
    <s v="Association francaise des Sociétés Financieres - ASF"/>
    <n v="5812.2"/>
    <n v="9792.1"/>
    <n v="1630.9"/>
    <n v="17235.2"/>
  </r>
  <r>
    <x v="8"/>
    <x v="10"/>
    <s v="Fédération Nationale des Loueurs de Véhicules - FNLV"/>
    <m/>
    <n v="5732"/>
    <n v="0"/>
    <n v="5732"/>
  </r>
  <r>
    <x v="8"/>
    <x v="11"/>
    <s v="Association of Greek Leasing Companies - AGLC"/>
    <n v="79.599999999999994"/>
    <n v="40"/>
    <n v="7.3"/>
    <n v="126.89999999999999"/>
  </r>
  <r>
    <x v="8"/>
    <x v="12"/>
    <s v="Croatian Chamber of Economy - Association of Leasing Companies"/>
    <m/>
    <m/>
    <m/>
    <n v="0"/>
  </r>
  <r>
    <x v="8"/>
    <x v="13"/>
    <s v="Hungarian Leasing Association"/>
    <n v="201.5"/>
    <n v="550.5"/>
    <n v="1.1000000000000001"/>
    <n v="753.1"/>
  </r>
  <r>
    <x v="8"/>
    <x v="14"/>
    <s v="Associazione Italiana Leasing - ASSILEA and ANIASA"/>
    <n v="3637.6"/>
    <n v="3518.8"/>
    <n v="1821.5"/>
    <n v="8977.9"/>
  </r>
  <r>
    <x v="8"/>
    <x v="15"/>
    <s v="Association of Lithuanian Banks - Leasing Committee"/>
    <n v="120"/>
    <n v="635"/>
    <n v="7"/>
    <n v="762"/>
  </r>
  <r>
    <x v="8"/>
    <x v="16"/>
    <s v="Finance Latvia Association - Leasing Committee"/>
    <n v="82.6"/>
    <n v="259.5"/>
    <m/>
    <n v="342.1"/>
  </r>
  <r>
    <x v="8"/>
    <x v="17"/>
    <s v="Association Professionnelle des Sociétés de Financement - APSF"/>
    <n v="181.3"/>
    <n v="502.6"/>
    <n v="97.7"/>
    <n v="781.60000000000014"/>
  </r>
  <r>
    <x v="8"/>
    <x v="18"/>
    <s v="Nederlandse Vereniging van Leasemaatschappijen - NVL"/>
    <m/>
    <m/>
    <n v="2727"/>
    <n v="2727"/>
  </r>
  <r>
    <x v="8"/>
    <x v="19"/>
    <s v="Finansieringsselskapenes Forening"/>
    <n v="1077.7"/>
    <n v="1647"/>
    <n v="12.8"/>
    <n v="2737.5"/>
  </r>
  <r>
    <x v="8"/>
    <x v="20"/>
    <s v="Polish Leasing Association"/>
    <n v="1785.6"/>
    <n v="4563"/>
    <n v="78.599999999999994"/>
    <n v="6427.2000000000007"/>
  </r>
  <r>
    <x v="8"/>
    <x v="21"/>
    <s v="Associação Portuguesa de Leasing, Factoring e Renting - ALF"/>
    <n v="280"/>
    <n v="834"/>
    <n v="379"/>
    <n v="1493"/>
  </r>
  <r>
    <x v="8"/>
    <x v="22"/>
    <s v="United Leasing Association - ULA"/>
    <n v="2048.6999999999998"/>
    <n v="1399.7"/>
    <n v="59.6"/>
    <n v="3507.9999999999995"/>
  </r>
  <r>
    <x v="8"/>
    <x v="23"/>
    <s v="AFINA regrouping Finansbolagens Förening and Svenska Bankföreningen"/>
    <n v="2001.2"/>
    <n v="5535"/>
    <n v="1.4"/>
    <n v="7537.5999999999995"/>
  </r>
  <r>
    <x v="8"/>
    <x v="24"/>
    <s v="Leasing Committee of the Banking Association of Slovenia"/>
    <n v="48"/>
    <n v="516.6"/>
    <n v="35.200000000000003"/>
    <n v="599.80000000000007"/>
  </r>
  <r>
    <x v="8"/>
    <x v="25"/>
    <s v="Association of Leasing Companies of the Slovak Republic"/>
    <n v="224.1"/>
    <n v="825.1"/>
    <n v="20.100000000000001"/>
    <n v="1069.3"/>
  </r>
  <r>
    <x v="8"/>
    <x v="26"/>
    <s v="Auto Leasing and Rental Companies Association - Tokkder"/>
    <m/>
    <n v="1182.9000000000001"/>
    <m/>
    <n v="1182.9000000000001"/>
  </r>
  <r>
    <x v="8"/>
    <x v="26"/>
    <s v="Turkish Association of Financial Institutions - AFI/FKB"/>
    <n v="1923.5"/>
    <n v="166.4"/>
    <n v="600.29999999999995"/>
    <n v="2690.2"/>
  </r>
  <r>
    <x v="8"/>
    <x v="27"/>
    <s v="Ukrainian Union of Lessors - UUL"/>
    <m/>
    <m/>
    <m/>
    <n v="0"/>
  </r>
  <r>
    <x v="8"/>
    <x v="28"/>
    <s v="Finance and Leasing Association - FLA"/>
    <n v="6606.6"/>
    <n v="31376.799999999999"/>
    <n v="414.1"/>
    <n v="38397.5"/>
  </r>
  <r>
    <x v="9"/>
    <x v="0"/>
    <s v="Verband Österreichischer Leasing-Gesellschaften - VÖL"/>
    <n v="623.99139322216297"/>
    <n v="1974.0303827548164"/>
    <n v="337.00292069197928"/>
    <n v="2935.0246966689588"/>
  </r>
  <r>
    <x v="9"/>
    <x v="1"/>
    <s v="Association Belge des Entreprises de Leasing"/>
    <n v="1009.5045076525263"/>
    <n v="1018.0264844083723"/>
    <n v="219.77726367891538"/>
    <n v="2247.3082557398138"/>
  </r>
  <r>
    <x v="9"/>
    <x v="1"/>
    <s v="Fédération Belge des Loueurs de Véhicules - RENTA"/>
    <n v="0"/>
    <n v="1250"/>
    <n v="0"/>
    <n v="1250"/>
  </r>
  <r>
    <x v="9"/>
    <x v="2"/>
    <s v="Bulgarian Association for Leasing - BAL"/>
    <n v="88.837061380260778"/>
    <n v="247.61077324066028"/>
    <n v="6.7998300042498938"/>
    <n v="343.24766462517096"/>
  </r>
  <r>
    <x v="9"/>
    <x v="3"/>
    <s v="Schweizerischer Leasingverband - SLV"/>
    <n v="550.20196191575303"/>
    <n v="3974.381368267831"/>
    <n v="0"/>
    <n v="4524.5833301835837"/>
  </r>
  <r>
    <x v="9"/>
    <x v="4"/>
    <s v="Czech Leasing and Finance Association - CLFA"/>
    <n v="257.4949063743087"/>
    <n v="634.56883509833585"/>
    <n v="40.704232259330098"/>
    <n v="932.76797373197462"/>
  </r>
  <r>
    <x v="9"/>
    <x v="5"/>
    <s v="Bundesverband Deutscher Leasing-Unternehmen e.V. - BDL"/>
    <n v="9484.0723400348852"/>
    <n v="13401.824461960854"/>
    <n v="197.01008228068142"/>
    <n v="23082.906884276421"/>
  </r>
  <r>
    <x v="9"/>
    <x v="6"/>
    <s v="Finans og Leasing"/>
    <n v="757.46620559572455"/>
    <n v="2766.5078284547308"/>
    <n v="61.169967756794115"/>
    <n v="3585.1440018072494"/>
  </r>
  <r>
    <x v="9"/>
    <x v="7"/>
    <s v="Estonian Leasing Association"/>
    <n v="150.00375009375236"/>
    <n v="295.99161222679248"/>
    <n v="0"/>
    <n v="445.99536232054481"/>
  </r>
  <r>
    <x v="9"/>
    <x v="8"/>
    <s v="Asociación Española de Leasing y Renting - AELR"/>
    <n v="1530.4161304161305"/>
    <n v="1515.7941241440249"/>
    <n v="487.86292241789624"/>
    <n v="3534.0731769780518"/>
  </r>
  <r>
    <x v="9"/>
    <x v="8"/>
    <s v="Association Espanola de Renting de Vehiculos - AER"/>
    <n v="0"/>
    <n v="2149"/>
    <n v="0"/>
    <n v="2149"/>
  </r>
  <r>
    <x v="9"/>
    <x v="9"/>
    <s v="Federation of Finnish Financial Services - FKL"/>
    <n v="996.00483136671926"/>
    <n v="917.98027480401254"/>
    <n v="0"/>
    <n v="1913.9851061707318"/>
  </r>
  <r>
    <x v="9"/>
    <x v="10"/>
    <s v="Association francaise des Sociétés Financieres - ASF"/>
    <n v="5022.2068607966821"/>
    <n v="8147.8615410218008"/>
    <n v="2058.9572023734377"/>
    <n v="15229.025604191922"/>
  </r>
  <r>
    <x v="9"/>
    <x v="10"/>
    <s v="Fédération Nationale des Loueurs de Véhicules - FNLV"/>
    <n v="0"/>
    <n v="5732"/>
    <n v="0"/>
    <n v="5732"/>
  </r>
  <r>
    <x v="9"/>
    <x v="11"/>
    <s v="Association of Greek Leasing Companies - AGLC"/>
    <n v="43.502022078915722"/>
    <n v="25.889967637540455"/>
    <n v="15.43993231810491"/>
    <n v="84.831922034561089"/>
  </r>
  <r>
    <x v="9"/>
    <x v="12"/>
    <s v="Croatian Chamber of Economy - Association of Leasing Companies"/>
    <n v="0"/>
    <n v="0"/>
    <n v="0"/>
    <n v="0"/>
  </r>
  <r>
    <x v="9"/>
    <x v="13"/>
    <s v="Hungarian Leasing Association"/>
    <n v="187.09377901578461"/>
    <n v="476.91241445031619"/>
    <n v="4.3842168194499802"/>
    <n v="668.39041028555073"/>
  </r>
  <r>
    <x v="9"/>
    <x v="14"/>
    <s v="Associazione Italiana Leasing - ASSILEA and ANIASA"/>
    <n v="3371.2696941612603"/>
    <n v="2708.4359605911332"/>
    <n v="1859.2426252934572"/>
    <n v="7938.9482800458509"/>
  </r>
  <r>
    <x v="9"/>
    <x v="15"/>
    <s v="Association of Lithuanian Banks - Leasing Committee"/>
    <n v="77.002053388090346"/>
    <n v="377.99869039823801"/>
    <n v="5.9998285763263901"/>
    <n v="461.00057236265474"/>
  </r>
  <r>
    <x v="9"/>
    <x v="16"/>
    <s v="Finance Latvia Association - Leasing Committee"/>
    <n v="105.31684304475327"/>
    <n v="223.18740861787219"/>
    <n v="0"/>
    <n v="328.50425166262545"/>
  </r>
  <r>
    <x v="9"/>
    <x v="17"/>
    <s v="Association Professionnelle des Sociétés de Financement - APSF"/>
    <n v="186.6378422894791"/>
    <n v="389.61240310077523"/>
    <n v="113.73690337601863"/>
    <n v="689.98714876627298"/>
  </r>
  <r>
    <x v="9"/>
    <x v="18"/>
    <s v="Nederlandse Vereniging van Leasemaatschappijen - NVL"/>
    <n v="0"/>
    <n v="0"/>
    <n v="2727"/>
    <n v="2727"/>
  </r>
  <r>
    <x v="9"/>
    <x v="19"/>
    <s v="Finansieringsselskapenes Forening"/>
    <n v="1018.9089533894298"/>
    <n v="1358.2384957941613"/>
    <n v="1.2694256840518483"/>
    <n v="2378.4168748676429"/>
  </r>
  <r>
    <x v="9"/>
    <x v="20"/>
    <s v="Polish Leasing Association"/>
    <n v="1944.6743628839031"/>
    <n v="3352.9282092732751"/>
    <n v="162.16216216216213"/>
    <n v="5459.7647343193412"/>
  </r>
  <r>
    <x v="9"/>
    <x v="21"/>
    <s v="Associação Portuguesa de Leasing, Factoring e Renting - ALF"/>
    <n v="312.98904538341156"/>
    <n v="688.00527965682238"/>
    <n v="292.01017027505969"/>
    <n v="1293.0044953152935"/>
  </r>
  <r>
    <x v="9"/>
    <x v="22"/>
    <s v="United Leasing Association - ULA"/>
    <n v="1979.6115566721421"/>
    <n v="1070.7619339045289"/>
    <n v="62.212943632567857"/>
    <n v="3112.5864342092386"/>
  </r>
  <r>
    <x v="9"/>
    <x v="23"/>
    <s v="AFINA regrouping Finansbolagens Förening and Svenska Bankföreningen"/>
    <n v="1839.1691940079036"/>
    <n v="4621.357602070635"/>
    <n v="3.6610878661087867"/>
    <n v="6464.1878839446472"/>
  </r>
  <r>
    <x v="9"/>
    <x v="24"/>
    <s v="Leasing Committee of the Banking Association of Slovenia"/>
    <n v="82.205857167323174"/>
    <n v="293.48937620724917"/>
    <n v="2.2980401373601267"/>
    <n v="377.9932735119325"/>
  </r>
  <r>
    <x v="9"/>
    <x v="25"/>
    <s v="Association of Leasing Companies of the Slovak Republic"/>
    <n v="231.26934984520125"/>
    <n v="665.08141221989365"/>
    <n v="33.918326020924738"/>
    <n v="930.26908808601956"/>
  </r>
  <r>
    <x v="9"/>
    <x v="26"/>
    <s v="Auto Leasing and Rental Companies Association - Tokkder"/>
    <n v="0"/>
    <n v="709.72580548389033"/>
    <n v="0"/>
    <n v="709.72580548389033"/>
  </r>
  <r>
    <x v="9"/>
    <x v="26"/>
    <s v="Turkish Association of Financial Institutions - AFI/FKB"/>
    <n v="1607.0682596708161"/>
    <n v="181.61973368260206"/>
    <n v="772.38805970149247"/>
    <n v="2561.0760530549105"/>
  </r>
  <r>
    <x v="9"/>
    <x v="27"/>
    <s v="Ukrainian Union of Lessors - UUL"/>
    <n v="0"/>
    <n v="0"/>
    <n v="0"/>
    <n v="0"/>
  </r>
  <r>
    <x v="9"/>
    <x v="28"/>
    <s v="Finance and Leasing Association - FLA"/>
    <n v="6404.2264443582781"/>
    <n v="28090.241718889883"/>
    <n v="254.12703283215711"/>
    <n v="34748.595196080314"/>
  </r>
  <r>
    <x v="10"/>
    <x v="0"/>
    <s v="Verband Österreichischer Leasing-Gesellschaften - VÖL"/>
    <n v="630"/>
    <n v="1877"/>
    <n v="161"/>
    <n v="2668"/>
  </r>
  <r>
    <x v="10"/>
    <x v="1"/>
    <s v="Association Belge des Entreprises de Leasing"/>
    <n v="1750.1"/>
    <m/>
    <n v="182.3"/>
    <n v="1932.4"/>
  </r>
  <r>
    <x v="10"/>
    <x v="1"/>
    <s v="Fédération Belge des Loueurs de Véhicules - RENTA"/>
    <m/>
    <n v="1316"/>
    <m/>
    <n v="1316"/>
  </r>
  <r>
    <x v="10"/>
    <x v="2"/>
    <s v="Bulgarian Association for Leasing - BAL"/>
    <n v="83.2"/>
    <n v="211.2"/>
    <n v="6.7"/>
    <n v="301.10000000000002"/>
  </r>
  <r>
    <x v="10"/>
    <x v="3"/>
    <s v="Schweizerischer Leasingverband - SLV"/>
    <n v="487.9"/>
    <n v="3710.3"/>
    <n v="13.1"/>
    <n v="4211.3999999999996"/>
  </r>
  <r>
    <x v="10"/>
    <x v="4"/>
    <s v="Czech Leasing and Finance Association - CLFA"/>
    <n v="202.6"/>
    <n v="554.20000000000005"/>
    <n v="36.4"/>
    <n v="793.3"/>
  </r>
  <r>
    <x v="10"/>
    <x v="5"/>
    <s v="Bundesverband Deutscher Leasing-Unternehmen e.V. - BDL"/>
    <n v="6200"/>
    <n v="17300"/>
    <n v="220"/>
    <n v="23720"/>
  </r>
  <r>
    <x v="10"/>
    <x v="6"/>
    <s v="Finans og Leasing"/>
    <n v="525.70000000000005"/>
    <n v="2259.1"/>
    <n v="27.7"/>
    <n v="2812.5"/>
  </r>
  <r>
    <x v="10"/>
    <x v="7"/>
    <s v="Estonian Leasing Association"/>
    <n v="221"/>
    <n v="206"/>
    <n v="0"/>
    <n v="427"/>
  </r>
  <r>
    <x v="10"/>
    <x v="8"/>
    <s v="Asociación Española de Leasing y Renting - AELR"/>
    <n v="1336.3"/>
    <n v="1161.2"/>
    <n v="520.70000000000005"/>
    <n v="3018.2"/>
  </r>
  <r>
    <x v="10"/>
    <x v="8"/>
    <s v="Association Espanola de Renting de Vehiculos - AER"/>
    <m/>
    <n v="1495.4"/>
    <m/>
    <n v="1495.4"/>
  </r>
  <r>
    <x v="10"/>
    <x v="9"/>
    <s v="Federation of Finnish Financial Services - FKL"/>
    <n v="897"/>
    <n v="835"/>
    <n v="0"/>
    <n v="1732"/>
  </r>
  <r>
    <x v="10"/>
    <x v="10"/>
    <s v="Association francaise des Sociétés Financieres - ASF"/>
    <n v="4957.8"/>
    <n v="7244.1"/>
    <n v="2108.5"/>
    <n v="14310.4"/>
  </r>
  <r>
    <x v="10"/>
    <x v="10"/>
    <s v="Fédération Nationale des Loueurs de Véhicules - FNLV"/>
    <m/>
    <n v="4279"/>
    <m/>
    <n v="4279"/>
  </r>
  <r>
    <x v="10"/>
    <x v="11"/>
    <s v="Association of Greek Leasing Companies - AGLC"/>
    <n v="46.4"/>
    <n v="19.7"/>
    <n v="21.8"/>
    <n v="88"/>
  </r>
  <r>
    <x v="10"/>
    <x v="12"/>
    <s v="Croatian Chamber of Economy - Association of Leasing Companies"/>
    <m/>
    <m/>
    <m/>
    <m/>
  </r>
  <r>
    <x v="10"/>
    <x v="13"/>
    <s v="Hungarian Leasing Association"/>
    <m/>
    <m/>
    <m/>
    <m/>
  </r>
  <r>
    <x v="10"/>
    <x v="14"/>
    <s v="Associazione Italiana Leasing - ASSILEA and ANIASA"/>
    <n v="3107.9920000000002"/>
    <n v="2546.0329999999999"/>
    <n v="2025.0129999999999"/>
    <n v="7679"/>
  </r>
  <r>
    <x v="10"/>
    <x v="15"/>
    <s v="Association of Lithuanian Banks - Leasing Committee"/>
    <n v="106.1"/>
    <n v="299.5"/>
    <n v="127.1"/>
    <n v="532.70000000000005"/>
  </r>
  <r>
    <x v="10"/>
    <x v="16"/>
    <s v="Finance Latvia Association - Leasing Committee"/>
    <n v="71.8"/>
    <n v="202.4"/>
    <n v="1.1000000000000001"/>
    <n v="275.3"/>
  </r>
  <r>
    <x v="10"/>
    <x v="17"/>
    <s v="Association Professionnelle des Sociétés de Financement - APSF"/>
    <n v="197.7"/>
    <n v="329.9"/>
    <n v="94.3"/>
    <n v="621.9"/>
  </r>
  <r>
    <x v="10"/>
    <x v="18"/>
    <s v="Nederlandse Vereniging van Leasemaatschappijen - NVL"/>
    <n v="1948"/>
    <m/>
    <m/>
    <n v="1948"/>
  </r>
  <r>
    <x v="10"/>
    <x v="19"/>
    <s v="Finansieringsselskapenes Forening"/>
    <n v="1084.3"/>
    <n v="1663.5"/>
    <n v="2.9"/>
    <n v="2750.7"/>
  </r>
  <r>
    <x v="10"/>
    <x v="20"/>
    <s v="Polish Leasing Association"/>
    <n v="1742.2"/>
    <n v="3193.3"/>
    <n v="106"/>
    <n v="5041.3999999999996"/>
  </r>
  <r>
    <x v="10"/>
    <x v="21"/>
    <s v="Associação Portuguesa de Leasing, Factoring e Renting - ALF"/>
    <n v="381"/>
    <n v="578"/>
    <n v="303"/>
    <n v="1262"/>
  </r>
  <r>
    <x v="10"/>
    <x v="22"/>
    <s v="United Leasing Association - ULA"/>
    <n v="4820.3999999999996"/>
    <n v="2218.5"/>
    <n v="129"/>
    <n v="7167.9"/>
  </r>
  <r>
    <x v="10"/>
    <x v="23"/>
    <s v="AFINA regrouping Finansbolagens Förening and Svenska Bankföreningen"/>
    <n v="1830.5"/>
    <n v="4166.8"/>
    <n v="1.3"/>
    <n v="5998.7"/>
  </r>
  <r>
    <x v="10"/>
    <x v="24"/>
    <s v="Leasing Committee of the Banking Association of Slovenia"/>
    <n v="42"/>
    <n v="311"/>
    <n v="5"/>
    <n v="358"/>
  </r>
  <r>
    <x v="10"/>
    <x v="25"/>
    <s v="Association of Leasing Companies of the Slovak Republic"/>
    <n v="190.7"/>
    <n v="686.2"/>
    <n v="23.8"/>
    <n v="900.7"/>
  </r>
  <r>
    <x v="10"/>
    <x v="26"/>
    <s v="Auto Leasing and Rental Companies Association - Tokkder"/>
    <m/>
    <n v="657.9"/>
    <m/>
    <n v="657.9"/>
  </r>
  <r>
    <x v="10"/>
    <x v="26"/>
    <s v="Turkish Association of Financial Institutions - AFI/FKB"/>
    <m/>
    <m/>
    <m/>
    <m/>
  </r>
  <r>
    <x v="10"/>
    <x v="27"/>
    <s v="Ukrainian Union of Lessors - UUL"/>
    <n v="34.200000000000003"/>
    <n v="75.099999999999994"/>
    <n v="0"/>
    <n v="109.3"/>
  </r>
  <r>
    <x v="10"/>
    <x v="28"/>
    <s v="Finance and Leasing Association - FLA"/>
    <n v="5303"/>
    <n v="22548.5"/>
    <n v="246.5"/>
    <n v="28098"/>
  </r>
  <r>
    <x v="10"/>
    <x v="0"/>
    <s v="Verband Österreichischer Leasing-Gesellschaften - VÖL"/>
    <n v="568"/>
    <n v="1748"/>
    <n v="255"/>
    <n v="2571"/>
  </r>
  <r>
    <x v="11"/>
    <x v="1"/>
    <s v="Association Belge des Entreprises de Leasing"/>
    <n v="1842.9"/>
    <m/>
    <n v="156.5"/>
    <n v="1999.4"/>
  </r>
  <r>
    <x v="11"/>
    <x v="1"/>
    <s v="Fédération Belge des Loueurs de Véhicules - RENTA"/>
    <m/>
    <m/>
    <m/>
    <m/>
  </r>
  <r>
    <x v="11"/>
    <x v="2"/>
    <s v="Bulgarian Association for Leasing - BAL"/>
    <n v="86"/>
    <n v="178.7"/>
    <n v="9.3000000000000007"/>
    <n v="273.89999999999998"/>
  </r>
  <r>
    <x v="11"/>
    <x v="3"/>
    <s v="Schweizerischer Leasingverband - SLV"/>
    <n v="493.5"/>
    <n v="3625.4"/>
    <n v="5.7"/>
    <n v="4124.6000000000004"/>
  </r>
  <r>
    <x v="11"/>
    <x v="4"/>
    <s v="Czech Leasing and Finance Association - CLFA"/>
    <n v="204.9"/>
    <n v="469.5"/>
    <n v="42.8"/>
    <n v="717.2"/>
  </r>
  <r>
    <x v="11"/>
    <x v="5"/>
    <s v="Bundesverband Deutscher Leasing-Unternehmen e.V. - BDL"/>
    <n v="5132"/>
    <n v="14722"/>
    <n v="738"/>
    <n v="20592"/>
  </r>
  <r>
    <x v="11"/>
    <x v="6"/>
    <s v="Finans og Leasing"/>
    <n v="595.1"/>
    <n v="2277.3000000000002"/>
    <n v="62.4"/>
    <n v="2934.7"/>
  </r>
  <r>
    <x v="11"/>
    <x v="7"/>
    <s v="Estonian Leasing Association"/>
    <n v="166"/>
    <n v="288"/>
    <n v="0"/>
    <n v="454"/>
  </r>
  <r>
    <x v="11"/>
    <x v="8"/>
    <s v="Asociación Española de Leasing y Renting - AELR"/>
    <n v="1007.6"/>
    <n v="800.7"/>
    <n v="480"/>
    <n v="2288.3000000000002"/>
  </r>
  <r>
    <x v="11"/>
    <x v="8"/>
    <s v="Association Espanola de Renting de Vehiculos - AER"/>
    <m/>
    <n v="1277.5999999999999"/>
    <m/>
    <n v="1277.5999999999999"/>
  </r>
  <r>
    <x v="11"/>
    <x v="9"/>
    <s v="Federation of Finnish Financial Services - FKL"/>
    <n v="800"/>
    <n v="796"/>
    <n v="0"/>
    <n v="1596"/>
  </r>
  <r>
    <x v="11"/>
    <x v="10"/>
    <s v="Association francaise des Sociétés Financieres - ASF"/>
    <n v="5086"/>
    <n v="6742"/>
    <n v="2174"/>
    <n v="14002"/>
  </r>
  <r>
    <x v="11"/>
    <x v="10"/>
    <s v="Fédération Nationale des Loueurs de Véhicules - FNLV"/>
    <m/>
    <n v="3973"/>
    <m/>
    <n v="3973"/>
  </r>
  <r>
    <x v="11"/>
    <x v="11"/>
    <s v="Association of Greek Leasing Companies - AGLC"/>
    <m/>
    <m/>
    <m/>
    <m/>
  </r>
  <r>
    <x v="11"/>
    <x v="12"/>
    <s v="Croatian Chamber of Economy - Association of Leasing Companies"/>
    <m/>
    <m/>
    <m/>
    <m/>
  </r>
  <r>
    <x v="11"/>
    <x v="13"/>
    <s v="Hungarian Leasing Association"/>
    <m/>
    <m/>
    <m/>
    <m/>
  </r>
  <r>
    <x v="11"/>
    <x v="14"/>
    <s v="Associazione Italiana Leasing - ASSILEA and ANIASA"/>
    <n v="2934"/>
    <n v="2345"/>
    <n v="1989"/>
    <n v="7268"/>
  </r>
  <r>
    <x v="11"/>
    <x v="15"/>
    <s v="Association of Lithuanian Banks - Leasing Committee"/>
    <n v="113.1"/>
    <n v="267"/>
    <n v="3.7"/>
    <n v="383.8"/>
  </r>
  <r>
    <x v="11"/>
    <x v="16"/>
    <s v="Finance Latvia Association - Leasing Committee"/>
    <n v="82.2"/>
    <n v="198.5"/>
    <n v="2.2000000000000002"/>
    <n v="282.8"/>
  </r>
  <r>
    <x v="11"/>
    <x v="17"/>
    <s v="Association Professionnelle des Sociétés de Financement - APSF"/>
    <n v="239.9"/>
    <n v="199.4"/>
    <n v="87.8"/>
    <n v="527.1"/>
  </r>
  <r>
    <x v="11"/>
    <x v="18"/>
    <s v="Nederlandse Vereniging van Leasemaatschappijen - NVL"/>
    <n v="2069"/>
    <m/>
    <m/>
    <n v="2069"/>
  </r>
  <r>
    <x v="11"/>
    <x v="19"/>
    <s v="Finansieringsselskapenes Forening"/>
    <n v="1129.8"/>
    <n v="1533.3"/>
    <n v="6.2"/>
    <n v="2669.3"/>
  </r>
  <r>
    <x v="11"/>
    <x v="20"/>
    <s v="Polish Leasing Association"/>
    <n v="1344"/>
    <n v="2262.5"/>
    <n v="212.8"/>
    <n v="3819.3"/>
  </r>
  <r>
    <x v="11"/>
    <x v="21"/>
    <s v="Associação Portuguesa de Leasing, Factoring e Renting - ALF"/>
    <n v="224"/>
    <n v="391"/>
    <n v="265"/>
    <n v="880"/>
  </r>
  <r>
    <x v="11"/>
    <x v="22"/>
    <s v="United Leasing Association - ULA"/>
    <n v="6360.9"/>
    <n v="2257.6999999999998"/>
    <n v="44.2"/>
    <n v="8662.7999999999993"/>
  </r>
  <r>
    <x v="11"/>
    <x v="23"/>
    <s v="AFINA regrouping Finansbolagens Förening and Svenska Bankföreningen"/>
    <n v="1823.1"/>
    <n v="4061.9"/>
    <n v="20.7"/>
    <n v="5905.8"/>
  </r>
  <r>
    <x v="11"/>
    <x v="24"/>
    <s v="Leasing Committee of the Banking Association of Slovenia"/>
    <n v="35"/>
    <n v="359"/>
    <n v="31"/>
    <n v="425"/>
  </r>
  <r>
    <x v="11"/>
    <x v="25"/>
    <s v="Association of Leasing Companies of the Slovak Republic"/>
    <n v="185.4"/>
    <n v="636.9"/>
    <n v="25.3"/>
    <n v="847.6"/>
  </r>
  <r>
    <x v="11"/>
    <x v="26"/>
    <s v="Auto Leasing and Rental Companies Association - Tokkder"/>
    <m/>
    <n v="560.20000000000005"/>
    <m/>
    <m/>
  </r>
  <r>
    <x v="11"/>
    <x v="26"/>
    <s v="Turkish Association of Financial Institutions - AFI/FKB"/>
    <n v="224.9"/>
    <n v="126.1"/>
    <n v="0"/>
    <n v="351"/>
  </r>
  <r>
    <x v="11"/>
    <x v="27"/>
    <s v="Ukrainian Union of Lessors - UUL"/>
    <m/>
    <m/>
    <m/>
    <m/>
  </r>
  <r>
    <x v="11"/>
    <x v="28"/>
    <s v="Finance and Leasing Association - FLA"/>
    <n v="4603.7"/>
    <n v="18199.8"/>
    <n v="168.1"/>
    <n v="22971.5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A8498-A789-4F81-8E57-84DAAAF97FC6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E16" firstHeaderRow="0" firstDataRow="1" firstDataCol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7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77D7B-8D21-4E09-BBC4-999F8AA4AC2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AE17" firstHeaderRow="1" firstDataRow="2" firstDataCol="1"/>
  <pivotFields count="7">
    <pivotField axis="axisRow" showAll="0" sortType="a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 sortType="descending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0">
    <i>
      <x v="28"/>
    </i>
    <i>
      <x v="11"/>
    </i>
    <i>
      <x v="6"/>
    </i>
    <i>
      <x v="15"/>
    </i>
    <i>
      <x v="20"/>
    </i>
    <i>
      <x v="23"/>
    </i>
    <i>
      <x v="9"/>
    </i>
    <i>
      <x v="22"/>
    </i>
    <i>
      <x v="2"/>
    </i>
    <i>
      <x v="7"/>
    </i>
    <i>
      <x v="19"/>
    </i>
    <i>
      <x v="1"/>
    </i>
    <i>
      <x v="4"/>
    </i>
    <i>
      <x v="26"/>
    </i>
    <i>
      <x v="5"/>
    </i>
    <i>
      <x v="21"/>
    </i>
    <i>
      <x v="18"/>
    </i>
    <i>
      <x v="25"/>
    </i>
    <i>
      <x v="16"/>
    </i>
    <i>
      <x v="14"/>
    </i>
    <i>
      <x v="10"/>
    </i>
    <i>
      <x/>
    </i>
    <i>
      <x v="8"/>
    </i>
    <i>
      <x v="24"/>
    </i>
    <i>
      <x v="3"/>
    </i>
    <i>
      <x v="17"/>
    </i>
    <i>
      <x v="13"/>
    </i>
    <i>
      <x v="12"/>
    </i>
    <i>
      <x v="27"/>
    </i>
    <i t="grand">
      <x/>
    </i>
  </colItems>
  <dataFields count="1">
    <dataField name="Suma de Total (Mio €)" fld="6" baseField="0" baseItem="0"/>
  </dataFields>
  <chartFormats count="5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E01A6-CEB3-43A1-B4D8-722626C27F41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AE15" firstHeaderRow="1" firstDataRow="2" firstDataCol="1"/>
  <pivotFields count="7">
    <pivotField axis="axisRow" showAll="0" sortType="a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 sortType="descending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0">
    <i>
      <x v="28"/>
    </i>
    <i>
      <x v="11"/>
    </i>
    <i>
      <x v="6"/>
    </i>
    <i>
      <x v="15"/>
    </i>
    <i>
      <x v="23"/>
    </i>
    <i>
      <x v="20"/>
    </i>
    <i>
      <x v="9"/>
    </i>
    <i>
      <x v="7"/>
    </i>
    <i>
      <x v="4"/>
    </i>
    <i>
      <x v="2"/>
    </i>
    <i>
      <x v="1"/>
    </i>
    <i>
      <x v="19"/>
    </i>
    <i>
      <x v="22"/>
    </i>
    <i>
      <x v="5"/>
    </i>
    <i>
      <x v="26"/>
    </i>
    <i>
      <x v="25"/>
    </i>
    <i>
      <x v="21"/>
    </i>
    <i>
      <x v="16"/>
    </i>
    <i>
      <x v="14"/>
    </i>
    <i>
      <x v="24"/>
    </i>
    <i>
      <x v="8"/>
    </i>
    <i>
      <x v="3"/>
    </i>
    <i>
      <x/>
    </i>
    <i>
      <x v="10"/>
    </i>
    <i>
      <x v="13"/>
    </i>
    <i>
      <x v="17"/>
    </i>
    <i>
      <x v="27"/>
    </i>
    <i>
      <x v="12"/>
    </i>
    <i>
      <x v="18"/>
    </i>
    <i t="grand">
      <x/>
    </i>
  </colItems>
  <dataFields count="1">
    <dataField name="Suma de Vehicles (Mio €)" fld="4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891D5-B683-42F3-8FC9-EB7354B63EB0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28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1E705-BC14-42FD-8513-00E43EDF43D3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11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5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FDFE6-C6C8-4353-B9A2-FF4C408E6541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6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4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4BBE6-6838-4546-8319-93D5A3B845BD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15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3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65C49-A8CA-428E-AC70-BEE325F9ACFA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20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2">
      <pivotArea outline="0" collapsedLevelsAreSubtotals="1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D42F5-1A72-40FB-BCF4-06D751BAD8BA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23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1">
      <pivotArea outline="0" collapsedLevelsAreSubtotals="1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BA688-06B4-4A56-9EDA-499BA66BE5E0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E16" firstHeaderRow="0" firstDataRow="1" firstDataCol="1" rowPageCount="1" colPageCount="1"/>
  <pivotFields count="7"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0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9" hier="-1"/>
  </pageFields>
  <dataFields count="4">
    <dataField name="Suma de Equipment (Mio €)" fld="3" baseField="0" baseItem="0"/>
    <dataField name="Suma de Vehicles (Mio €)" fld="4" baseField="0" baseItem="0"/>
    <dataField name="Suma de Real Estate (Mio €)" fld="5" baseField="0" baseItem="0"/>
    <dataField name="Suma de Total (Mio €)" fld="6" baseField="0" baseItem="0"/>
  </dataFields>
  <formats count="1">
    <format dxfId="0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41BA-8351-413C-97DB-A0A1135D85EC}">
  <dimension ref="B2:C7"/>
  <sheetViews>
    <sheetView workbookViewId="0">
      <selection activeCell="E5" sqref="E5"/>
    </sheetView>
  </sheetViews>
  <sheetFormatPr defaultRowHeight="14.5" x14ac:dyDescent="0.35"/>
  <cols>
    <col min="2" max="2" width="22.453125" bestFit="1" customWidth="1"/>
    <col min="3" max="3" width="72.453125" customWidth="1"/>
  </cols>
  <sheetData>
    <row r="2" spans="2:3" x14ac:dyDescent="0.35">
      <c r="B2" s="18" t="s">
        <v>92</v>
      </c>
      <c r="C2" s="18" t="s">
        <v>101</v>
      </c>
    </row>
    <row r="3" spans="2:3" ht="29" x14ac:dyDescent="0.35">
      <c r="B3" s="19" t="s">
        <v>91</v>
      </c>
      <c r="C3" s="19" t="s">
        <v>93</v>
      </c>
    </row>
    <row r="4" spans="2:3" ht="43.5" x14ac:dyDescent="0.35">
      <c r="B4" s="19" t="s">
        <v>94</v>
      </c>
      <c r="C4" s="19" t="s">
        <v>96</v>
      </c>
    </row>
    <row r="5" spans="2:3" ht="58" x14ac:dyDescent="0.35">
      <c r="B5" s="19" t="s">
        <v>98</v>
      </c>
      <c r="C5" s="19" t="s">
        <v>97</v>
      </c>
    </row>
    <row r="6" spans="2:3" ht="43.5" x14ac:dyDescent="0.35">
      <c r="B6" s="19" t="s">
        <v>95</v>
      </c>
      <c r="C6" s="19" t="s">
        <v>99</v>
      </c>
    </row>
    <row r="7" spans="2:3" ht="43.5" x14ac:dyDescent="0.35">
      <c r="B7" s="19" t="s">
        <v>100</v>
      </c>
      <c r="C7" s="1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719E-D4AC-4DA7-A94B-F7E7EA1FC5BA}">
  <dimension ref="A1:K397"/>
  <sheetViews>
    <sheetView tabSelected="1" workbookViewId="0">
      <selection activeCell="C9" sqref="C9"/>
    </sheetView>
  </sheetViews>
  <sheetFormatPr defaultColWidth="10.90625" defaultRowHeight="14.5" x14ac:dyDescent="0.35"/>
  <cols>
    <col min="1" max="1" width="12.7265625" bestFit="1" customWidth="1"/>
    <col min="2" max="2" width="8.26953125" bestFit="1" customWidth="1"/>
    <col min="3" max="3" width="67" customWidth="1"/>
    <col min="4" max="7" width="12" bestFit="1" customWidth="1"/>
  </cols>
  <sheetData>
    <row r="1" spans="1:7" s="10" customFormat="1" ht="29" x14ac:dyDescent="0.35">
      <c r="A1" s="16" t="s">
        <v>68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</row>
    <row r="2" spans="1:7" x14ac:dyDescent="0.35">
      <c r="A2" s="12" t="s">
        <v>76</v>
      </c>
      <c r="B2" s="13" t="s">
        <v>6</v>
      </c>
      <c r="C2" s="13" t="s">
        <v>7</v>
      </c>
      <c r="D2" s="13"/>
      <c r="E2" s="13"/>
      <c r="F2" s="13"/>
      <c r="G2" s="13">
        <f>SUM(D2:F2)</f>
        <v>0</v>
      </c>
    </row>
    <row r="3" spans="1:7" x14ac:dyDescent="0.35">
      <c r="A3" s="12" t="s">
        <v>76</v>
      </c>
      <c r="B3" s="13" t="s">
        <v>8</v>
      </c>
      <c r="C3" s="13" t="s">
        <v>9</v>
      </c>
      <c r="D3" s="13">
        <v>1799</v>
      </c>
      <c r="E3" s="13">
        <v>2330</v>
      </c>
      <c r="F3" s="13">
        <v>276</v>
      </c>
      <c r="G3" s="13">
        <f t="shared" ref="G3:G34" si="0">SUM(D3:F3)</f>
        <v>4405</v>
      </c>
    </row>
    <row r="4" spans="1:7" x14ac:dyDescent="0.35">
      <c r="A4" s="12" t="s">
        <v>76</v>
      </c>
      <c r="B4" s="13" t="s">
        <v>8</v>
      </c>
      <c r="C4" s="12" t="s">
        <v>59</v>
      </c>
      <c r="D4" s="13"/>
      <c r="E4" s="13"/>
      <c r="F4" s="13"/>
      <c r="G4" s="13">
        <f>SUM(D4:F4)</f>
        <v>0</v>
      </c>
    </row>
    <row r="5" spans="1:7" x14ac:dyDescent="0.35">
      <c r="A5" s="12" t="s">
        <v>76</v>
      </c>
      <c r="B5" s="13" t="s">
        <v>10</v>
      </c>
      <c r="C5" s="13" t="s">
        <v>11</v>
      </c>
      <c r="D5" s="13">
        <v>171</v>
      </c>
      <c r="E5" s="13">
        <v>672</v>
      </c>
      <c r="F5" s="13">
        <v>6</v>
      </c>
      <c r="G5" s="13">
        <f t="shared" si="0"/>
        <v>849</v>
      </c>
    </row>
    <row r="6" spans="1:7" x14ac:dyDescent="0.35">
      <c r="A6" s="12" t="s">
        <v>76</v>
      </c>
      <c r="B6" s="13" t="s">
        <v>64</v>
      </c>
      <c r="C6" s="12" t="s">
        <v>65</v>
      </c>
      <c r="D6" s="13"/>
      <c r="E6" s="13"/>
      <c r="F6" s="13"/>
      <c r="G6" s="13"/>
    </row>
    <row r="7" spans="1:7" x14ac:dyDescent="0.35">
      <c r="A7" s="12" t="s">
        <v>76</v>
      </c>
      <c r="B7" s="13" t="s">
        <v>12</v>
      </c>
      <c r="C7" s="13" t="s">
        <v>13</v>
      </c>
      <c r="D7" s="13">
        <v>699</v>
      </c>
      <c r="E7" s="12">
        <v>1823</v>
      </c>
      <c r="F7" s="13">
        <v>43</v>
      </c>
      <c r="G7" s="13">
        <f t="shared" si="0"/>
        <v>2565</v>
      </c>
    </row>
    <row r="8" spans="1:7" x14ac:dyDescent="0.35">
      <c r="A8" s="12" t="s">
        <v>76</v>
      </c>
      <c r="B8" s="13" t="s">
        <v>14</v>
      </c>
      <c r="C8" s="13" t="s">
        <v>15</v>
      </c>
      <c r="D8" s="13">
        <v>13038</v>
      </c>
      <c r="E8" s="13">
        <v>19164</v>
      </c>
      <c r="F8" s="13">
        <v>216</v>
      </c>
      <c r="G8" s="13">
        <f t="shared" si="0"/>
        <v>32418</v>
      </c>
    </row>
    <row r="9" spans="1:7" x14ac:dyDescent="0.35">
      <c r="A9" s="12" t="s">
        <v>76</v>
      </c>
      <c r="B9" s="13" t="s">
        <v>16</v>
      </c>
      <c r="C9" s="13" t="s">
        <v>17</v>
      </c>
      <c r="D9" s="13">
        <v>1272</v>
      </c>
      <c r="E9" s="13">
        <v>3083</v>
      </c>
      <c r="F9" s="13">
        <v>97</v>
      </c>
      <c r="G9" s="13">
        <f t="shared" si="0"/>
        <v>4452</v>
      </c>
    </row>
    <row r="10" spans="1:7" x14ac:dyDescent="0.35">
      <c r="A10" s="12" t="s">
        <v>76</v>
      </c>
      <c r="B10" s="13" t="s">
        <v>18</v>
      </c>
      <c r="C10" s="13" t="s">
        <v>19</v>
      </c>
      <c r="D10" s="13">
        <v>158</v>
      </c>
      <c r="E10" s="13">
        <v>472</v>
      </c>
      <c r="F10" s="12"/>
      <c r="G10" s="13">
        <f t="shared" si="0"/>
        <v>630</v>
      </c>
    </row>
    <row r="11" spans="1:7" x14ac:dyDescent="0.35">
      <c r="A11" s="12" t="s">
        <v>76</v>
      </c>
      <c r="B11" s="13" t="s">
        <v>20</v>
      </c>
      <c r="C11" s="13" t="s">
        <v>21</v>
      </c>
      <c r="D11" s="13">
        <v>3119</v>
      </c>
      <c r="E11" s="13">
        <v>2390</v>
      </c>
      <c r="F11" s="13">
        <v>209</v>
      </c>
      <c r="G11" s="13">
        <f t="shared" si="0"/>
        <v>5718</v>
      </c>
    </row>
    <row r="12" spans="1:7" x14ac:dyDescent="0.35">
      <c r="A12" s="12" t="s">
        <v>76</v>
      </c>
      <c r="B12" s="13" t="s">
        <v>20</v>
      </c>
      <c r="C12" s="13" t="s">
        <v>22</v>
      </c>
      <c r="D12" s="13"/>
      <c r="E12" s="13">
        <v>4161</v>
      </c>
      <c r="F12" s="12"/>
      <c r="G12" s="13">
        <f t="shared" si="0"/>
        <v>4161</v>
      </c>
    </row>
    <row r="13" spans="1:7" x14ac:dyDescent="0.35">
      <c r="A13" s="12" t="s">
        <v>76</v>
      </c>
      <c r="B13" s="13" t="s">
        <v>66</v>
      </c>
      <c r="C13" s="12" t="s">
        <v>67</v>
      </c>
      <c r="D13" s="13"/>
      <c r="E13" s="13"/>
      <c r="F13" s="12"/>
      <c r="G13" s="13"/>
    </row>
    <row r="14" spans="1:7" x14ac:dyDescent="0.35">
      <c r="A14" s="12" t="s">
        <v>76</v>
      </c>
      <c r="B14" s="13" t="s">
        <v>23</v>
      </c>
      <c r="C14" s="13" t="s">
        <v>24</v>
      </c>
      <c r="D14" s="13">
        <v>8049</v>
      </c>
      <c r="E14" s="13">
        <v>18410</v>
      </c>
      <c r="F14" s="13">
        <v>1580</v>
      </c>
      <c r="G14" s="13">
        <f t="shared" si="0"/>
        <v>28039</v>
      </c>
    </row>
    <row r="15" spans="1:7" x14ac:dyDescent="0.35">
      <c r="A15" s="12" t="s">
        <v>76</v>
      </c>
      <c r="B15" s="13" t="s">
        <v>23</v>
      </c>
      <c r="C15" s="13" t="s">
        <v>25</v>
      </c>
      <c r="D15" s="13"/>
      <c r="E15" s="13">
        <v>7803</v>
      </c>
      <c r="F15" s="12"/>
      <c r="G15" s="13">
        <f t="shared" si="0"/>
        <v>7803</v>
      </c>
    </row>
    <row r="16" spans="1:7" x14ac:dyDescent="0.35">
      <c r="A16" s="12" t="s">
        <v>76</v>
      </c>
      <c r="B16" s="13" t="s">
        <v>26</v>
      </c>
      <c r="C16" s="13" t="s">
        <v>27</v>
      </c>
      <c r="D16" s="13">
        <v>123</v>
      </c>
      <c r="E16" s="13">
        <v>112</v>
      </c>
      <c r="F16" s="13">
        <v>11</v>
      </c>
      <c r="G16" s="13">
        <f t="shared" si="0"/>
        <v>246</v>
      </c>
    </row>
    <row r="17" spans="1:7" x14ac:dyDescent="0.35">
      <c r="A17" s="12" t="s">
        <v>76</v>
      </c>
      <c r="B17" s="13" t="s">
        <v>28</v>
      </c>
      <c r="C17" s="13" t="s">
        <v>29</v>
      </c>
      <c r="D17" s="13">
        <v>188</v>
      </c>
      <c r="E17" s="13">
        <v>935</v>
      </c>
      <c r="F17" s="13">
        <v>4</v>
      </c>
      <c r="G17" s="13">
        <f t="shared" si="0"/>
        <v>1127</v>
      </c>
    </row>
    <row r="18" spans="1:7" x14ac:dyDescent="0.35">
      <c r="A18" s="12" t="s">
        <v>76</v>
      </c>
      <c r="B18" s="13" t="s">
        <v>30</v>
      </c>
      <c r="C18" s="13" t="s">
        <v>31</v>
      </c>
      <c r="D18" s="13">
        <v>230</v>
      </c>
      <c r="E18" s="13">
        <v>972</v>
      </c>
      <c r="F18" s="13">
        <v>3</v>
      </c>
      <c r="G18" s="13">
        <f t="shared" si="0"/>
        <v>1205</v>
      </c>
    </row>
    <row r="19" spans="1:7" x14ac:dyDescent="0.35">
      <c r="A19" s="12" t="s">
        <v>76</v>
      </c>
      <c r="B19" s="13" t="s">
        <v>32</v>
      </c>
      <c r="C19" s="13" t="s">
        <v>33</v>
      </c>
      <c r="D19" s="13">
        <v>4471</v>
      </c>
      <c r="E19" s="13">
        <v>11332</v>
      </c>
      <c r="F19" s="13">
        <v>1358</v>
      </c>
      <c r="G19" s="13">
        <f t="shared" si="0"/>
        <v>17161</v>
      </c>
    </row>
    <row r="20" spans="1:7" x14ac:dyDescent="0.35">
      <c r="A20" s="12" t="s">
        <v>76</v>
      </c>
      <c r="B20" s="13" t="s">
        <v>34</v>
      </c>
      <c r="C20" s="13" t="s">
        <v>35</v>
      </c>
      <c r="D20" s="13">
        <v>223</v>
      </c>
      <c r="E20" s="13">
        <v>913</v>
      </c>
      <c r="F20" s="13">
        <v>1</v>
      </c>
      <c r="G20" s="13">
        <f t="shared" si="0"/>
        <v>1137</v>
      </c>
    </row>
    <row r="21" spans="1:7" x14ac:dyDescent="0.35">
      <c r="A21" s="12" t="s">
        <v>76</v>
      </c>
      <c r="B21" s="13" t="s">
        <v>36</v>
      </c>
      <c r="C21" s="13" t="s">
        <v>37</v>
      </c>
      <c r="D21" s="13">
        <v>151</v>
      </c>
      <c r="E21" s="13">
        <v>253</v>
      </c>
      <c r="F21" s="12"/>
      <c r="G21" s="13">
        <f t="shared" si="0"/>
        <v>404</v>
      </c>
    </row>
    <row r="22" spans="1:7" x14ac:dyDescent="0.35">
      <c r="A22" s="12" t="s">
        <v>76</v>
      </c>
      <c r="B22" s="13" t="s">
        <v>38</v>
      </c>
      <c r="C22" s="13" t="s">
        <v>39</v>
      </c>
      <c r="D22" s="13">
        <v>361</v>
      </c>
      <c r="E22" s="13">
        <v>314</v>
      </c>
      <c r="F22" s="13">
        <v>114</v>
      </c>
      <c r="G22" s="13">
        <f t="shared" si="0"/>
        <v>789</v>
      </c>
    </row>
    <row r="23" spans="1:7" x14ac:dyDescent="0.35">
      <c r="A23" s="12" t="s">
        <v>76</v>
      </c>
      <c r="B23" s="13" t="s">
        <v>40</v>
      </c>
      <c r="C23" s="13" t="s">
        <v>41</v>
      </c>
      <c r="D23" s="13"/>
      <c r="E23" s="13"/>
      <c r="F23" s="12"/>
      <c r="G23" s="13">
        <f t="shared" si="0"/>
        <v>0</v>
      </c>
    </row>
    <row r="24" spans="1:7" x14ac:dyDescent="0.35">
      <c r="A24" s="12" t="s">
        <v>76</v>
      </c>
      <c r="B24" s="13" t="s">
        <v>42</v>
      </c>
      <c r="C24" s="13" t="s">
        <v>43</v>
      </c>
      <c r="D24" s="13">
        <v>1409</v>
      </c>
      <c r="E24" s="13">
        <v>2103</v>
      </c>
      <c r="F24" s="13">
        <v>3</v>
      </c>
      <c r="G24" s="13">
        <f t="shared" si="0"/>
        <v>3515</v>
      </c>
    </row>
    <row r="25" spans="1:7" x14ac:dyDescent="0.35">
      <c r="A25" s="12" t="s">
        <v>76</v>
      </c>
      <c r="B25" s="13" t="s">
        <v>44</v>
      </c>
      <c r="C25" s="13" t="s">
        <v>45</v>
      </c>
      <c r="D25" s="13">
        <v>3261</v>
      </c>
      <c r="E25" s="13">
        <v>9241</v>
      </c>
      <c r="F25" s="13">
        <v>69</v>
      </c>
      <c r="G25" s="13">
        <f t="shared" si="0"/>
        <v>12571</v>
      </c>
    </row>
    <row r="26" spans="1:7" x14ac:dyDescent="0.35">
      <c r="A26" s="12" t="s">
        <v>76</v>
      </c>
      <c r="B26" s="13" t="s">
        <v>46</v>
      </c>
      <c r="C26" s="13" t="s">
        <v>47</v>
      </c>
      <c r="D26" s="13">
        <v>299</v>
      </c>
      <c r="E26" s="13">
        <v>1335</v>
      </c>
      <c r="F26" s="13">
        <v>443</v>
      </c>
      <c r="G26" s="13">
        <f t="shared" si="0"/>
        <v>2077</v>
      </c>
    </row>
    <row r="27" spans="1:7" x14ac:dyDescent="0.35">
      <c r="A27" s="12" t="s">
        <v>76</v>
      </c>
      <c r="B27" s="13" t="s">
        <v>60</v>
      </c>
      <c r="C27" s="12" t="s">
        <v>61</v>
      </c>
      <c r="D27" s="13"/>
      <c r="E27" s="13"/>
      <c r="F27" s="12"/>
      <c r="G27" s="13">
        <f t="shared" si="0"/>
        <v>0</v>
      </c>
    </row>
    <row r="28" spans="1:7" x14ac:dyDescent="0.35">
      <c r="A28" s="12" t="s">
        <v>76</v>
      </c>
      <c r="B28" s="13" t="s">
        <v>48</v>
      </c>
      <c r="C28" s="13" t="s">
        <v>49</v>
      </c>
      <c r="D28" s="13">
        <v>1860</v>
      </c>
      <c r="E28" s="13">
        <v>6944</v>
      </c>
      <c r="F28" s="13">
        <v>3</v>
      </c>
      <c r="G28" s="13">
        <f t="shared" si="0"/>
        <v>8807</v>
      </c>
    </row>
    <row r="29" spans="1:7" x14ac:dyDescent="0.35">
      <c r="A29" s="12" t="s">
        <v>76</v>
      </c>
      <c r="B29" s="12" t="s">
        <v>57</v>
      </c>
      <c r="C29" s="13" t="s">
        <v>58</v>
      </c>
      <c r="D29" s="13">
        <v>61</v>
      </c>
      <c r="E29" s="13">
        <v>784</v>
      </c>
      <c r="F29" s="13">
        <v>3</v>
      </c>
      <c r="G29" s="13">
        <f t="shared" si="0"/>
        <v>848</v>
      </c>
    </row>
    <row r="30" spans="1:7" x14ac:dyDescent="0.35">
      <c r="A30" s="12" t="s">
        <v>76</v>
      </c>
      <c r="B30" s="13" t="s">
        <v>50</v>
      </c>
      <c r="C30" s="13" t="s">
        <v>51</v>
      </c>
      <c r="D30" s="13">
        <v>363</v>
      </c>
      <c r="E30" s="13">
        <v>1304</v>
      </c>
      <c r="F30" s="13">
        <v>14</v>
      </c>
      <c r="G30" s="13">
        <f t="shared" si="0"/>
        <v>1681</v>
      </c>
    </row>
    <row r="31" spans="1:7" x14ac:dyDescent="0.35">
      <c r="A31" s="12" t="s">
        <v>76</v>
      </c>
      <c r="B31" s="13" t="s">
        <v>52</v>
      </c>
      <c r="C31" s="13" t="s">
        <v>53</v>
      </c>
      <c r="D31" s="12"/>
      <c r="E31" s="13">
        <v>1039</v>
      </c>
      <c r="F31" s="12"/>
      <c r="G31" s="13">
        <f t="shared" si="0"/>
        <v>1039</v>
      </c>
    </row>
    <row r="32" spans="1:7" x14ac:dyDescent="0.35">
      <c r="A32" s="12" t="s">
        <v>76</v>
      </c>
      <c r="B32" s="13" t="s">
        <v>52</v>
      </c>
      <c r="C32" s="13" t="s">
        <v>54</v>
      </c>
      <c r="D32" s="13">
        <v>1287</v>
      </c>
      <c r="E32" s="13">
        <v>552</v>
      </c>
      <c r="F32" s="13">
        <v>266</v>
      </c>
      <c r="G32" s="13">
        <f t="shared" si="0"/>
        <v>2105</v>
      </c>
    </row>
    <row r="33" spans="1:7" x14ac:dyDescent="0.35">
      <c r="A33" s="12" t="s">
        <v>76</v>
      </c>
      <c r="B33" s="13" t="s">
        <v>62</v>
      </c>
      <c r="C33" s="12" t="s">
        <v>63</v>
      </c>
      <c r="D33" s="13"/>
      <c r="E33" s="13"/>
      <c r="F33" s="13"/>
      <c r="G33" s="13"/>
    </row>
    <row r="34" spans="1:7" x14ac:dyDescent="0.35">
      <c r="A34" s="12" t="s">
        <v>76</v>
      </c>
      <c r="B34" s="13" t="s">
        <v>55</v>
      </c>
      <c r="C34" s="13" t="s">
        <v>56</v>
      </c>
      <c r="D34" s="13">
        <v>8017</v>
      </c>
      <c r="E34" s="13">
        <v>37810</v>
      </c>
      <c r="F34" s="13"/>
      <c r="G34" s="13">
        <f t="shared" si="0"/>
        <v>45827</v>
      </c>
    </row>
    <row r="35" spans="1:7" x14ac:dyDescent="0.35">
      <c r="A35" s="12" t="s">
        <v>77</v>
      </c>
      <c r="B35" s="13" t="s">
        <v>6</v>
      </c>
      <c r="C35" s="13" t="s">
        <v>7</v>
      </c>
      <c r="D35" s="13">
        <v>0</v>
      </c>
      <c r="E35" s="13">
        <v>0</v>
      </c>
      <c r="F35" s="13">
        <v>0</v>
      </c>
      <c r="G35" s="13">
        <v>0</v>
      </c>
    </row>
    <row r="36" spans="1:7" x14ac:dyDescent="0.35">
      <c r="A36" s="12" t="s">
        <v>77</v>
      </c>
      <c r="B36" s="13" t="s">
        <v>8</v>
      </c>
      <c r="C36" s="13" t="s">
        <v>9</v>
      </c>
      <c r="D36" s="13">
        <v>1664.199814986124</v>
      </c>
      <c r="E36" s="13">
        <v>2353.5353535353534</v>
      </c>
      <c r="F36" s="13">
        <v>344.13965087281792</v>
      </c>
      <c r="G36" s="13">
        <v>4361.3861386138615</v>
      </c>
    </row>
    <row r="37" spans="1:7" x14ac:dyDescent="0.35">
      <c r="A37" s="12" t="s">
        <v>77</v>
      </c>
      <c r="B37" s="13" t="s">
        <v>8</v>
      </c>
      <c r="C37" s="12" t="s">
        <v>59</v>
      </c>
      <c r="D37" s="13">
        <v>0</v>
      </c>
      <c r="E37" s="13">
        <v>0</v>
      </c>
      <c r="F37" s="13">
        <v>0</v>
      </c>
      <c r="G37" s="13">
        <v>0</v>
      </c>
    </row>
    <row r="38" spans="1:7" x14ac:dyDescent="0.35">
      <c r="A38" s="12" t="s">
        <v>77</v>
      </c>
      <c r="B38" s="13" t="s">
        <v>10</v>
      </c>
      <c r="C38" s="13" t="s">
        <v>11</v>
      </c>
      <c r="D38" s="13">
        <v>184.06889128094724</v>
      </c>
      <c r="E38" s="13">
        <v>603.23159784560141</v>
      </c>
      <c r="F38" s="13">
        <v>3</v>
      </c>
      <c r="G38" s="13">
        <v>789.76744186046517</v>
      </c>
    </row>
    <row r="39" spans="1:7" x14ac:dyDescent="0.35">
      <c r="A39" s="12" t="s">
        <v>77</v>
      </c>
      <c r="B39" s="13" t="s">
        <v>64</v>
      </c>
      <c r="C39" s="12" t="s">
        <v>65</v>
      </c>
      <c r="D39" s="13">
        <v>0</v>
      </c>
      <c r="E39" s="13">
        <v>0</v>
      </c>
      <c r="F39" s="13">
        <v>0</v>
      </c>
      <c r="G39" s="13">
        <v>0</v>
      </c>
    </row>
    <row r="40" spans="1:7" x14ac:dyDescent="0.35">
      <c r="A40" s="12" t="s">
        <v>77</v>
      </c>
      <c r="B40" s="13" t="s">
        <v>12</v>
      </c>
      <c r="C40" s="13" t="s">
        <v>13</v>
      </c>
      <c r="D40" s="13">
        <v>742.82678002125397</v>
      </c>
      <c r="E40" s="13">
        <v>1752.8846153846152</v>
      </c>
      <c r="F40" s="13">
        <v>60.992907801418433</v>
      </c>
      <c r="G40" s="13">
        <v>2557.3280159521437</v>
      </c>
    </row>
    <row r="41" spans="1:7" x14ac:dyDescent="0.35">
      <c r="A41" s="12" t="s">
        <v>77</v>
      </c>
      <c r="B41" s="13" t="s">
        <v>14</v>
      </c>
      <c r="C41" s="13" t="s">
        <v>15</v>
      </c>
      <c r="D41" s="13">
        <v>12288.407163053724</v>
      </c>
      <c r="E41" s="13">
        <v>17533.394327538885</v>
      </c>
      <c r="F41" s="13">
        <v>247.99081515499427</v>
      </c>
      <c r="G41" s="13">
        <v>30072.356215213356</v>
      </c>
    </row>
    <row r="42" spans="1:7" x14ac:dyDescent="0.35">
      <c r="A42" s="12" t="s">
        <v>77</v>
      </c>
      <c r="B42" s="13" t="s">
        <v>16</v>
      </c>
      <c r="C42" s="13" t="s">
        <v>17</v>
      </c>
      <c r="D42" s="13">
        <v>1219.5589645254076</v>
      </c>
      <c r="E42" s="13">
        <v>2676.2152777777778</v>
      </c>
      <c r="F42" s="13">
        <v>77.974276527331185</v>
      </c>
      <c r="G42" s="13">
        <v>3974.9999999999995</v>
      </c>
    </row>
    <row r="43" spans="1:7" x14ac:dyDescent="0.35">
      <c r="A43" s="12" t="s">
        <v>77</v>
      </c>
      <c r="B43" s="13" t="s">
        <v>18</v>
      </c>
      <c r="C43" s="13" t="s">
        <v>19</v>
      </c>
      <c r="D43" s="13">
        <v>183.08227114716107</v>
      </c>
      <c r="E43" s="13">
        <v>480.16276703967446</v>
      </c>
      <c r="F43" s="13">
        <v>0</v>
      </c>
      <c r="G43" s="13">
        <v>663.15789473684208</v>
      </c>
    </row>
    <row r="44" spans="1:7" x14ac:dyDescent="0.35">
      <c r="A44" s="12" t="s">
        <v>77</v>
      </c>
      <c r="B44" s="13" t="s">
        <v>20</v>
      </c>
      <c r="C44" s="13" t="s">
        <v>21</v>
      </c>
      <c r="D44" s="13">
        <v>3025.2182347235698</v>
      </c>
      <c r="E44" s="13">
        <v>2208.8724584103511</v>
      </c>
      <c r="F44" s="13">
        <v>230.93922651933701</v>
      </c>
      <c r="G44" s="13">
        <v>5466.5391969407265</v>
      </c>
    </row>
    <row r="45" spans="1:7" x14ac:dyDescent="0.35">
      <c r="A45" s="12" t="s">
        <v>77</v>
      </c>
      <c r="B45" s="13" t="s">
        <v>20</v>
      </c>
      <c r="C45" s="13" t="s">
        <v>22</v>
      </c>
      <c r="D45" s="13">
        <v>0</v>
      </c>
      <c r="E45" s="13">
        <v>3541.2765957446809</v>
      </c>
      <c r="F45" s="13">
        <v>0</v>
      </c>
      <c r="G45" s="13">
        <v>3541.2765957446809</v>
      </c>
    </row>
    <row r="46" spans="1:7" x14ac:dyDescent="0.35">
      <c r="A46" s="12" t="s">
        <v>77</v>
      </c>
      <c r="B46" s="13" t="s">
        <v>66</v>
      </c>
      <c r="C46" s="12" t="s">
        <v>67</v>
      </c>
      <c r="D46" s="13">
        <v>0</v>
      </c>
      <c r="E46" s="13">
        <v>0</v>
      </c>
      <c r="F46" s="13">
        <v>0</v>
      </c>
      <c r="G46" s="13">
        <v>0</v>
      </c>
    </row>
    <row r="47" spans="1:7" x14ac:dyDescent="0.35">
      <c r="A47" s="12" t="s">
        <v>77</v>
      </c>
      <c r="B47" s="13" t="s">
        <v>23</v>
      </c>
      <c r="C47" s="13" t="s">
        <v>24</v>
      </c>
      <c r="D47" s="13">
        <v>8032.934131736527</v>
      </c>
      <c r="E47" s="13">
        <v>16320.921985815601</v>
      </c>
      <c r="F47" s="13">
        <v>2123.6559139784945</v>
      </c>
      <c r="G47" s="13">
        <v>26476.864966949954</v>
      </c>
    </row>
    <row r="48" spans="1:7" x14ac:dyDescent="0.35">
      <c r="A48" s="12" t="s">
        <v>77</v>
      </c>
      <c r="B48" s="13" t="s">
        <v>23</v>
      </c>
      <c r="C48" s="13" t="s">
        <v>25</v>
      </c>
      <c r="D48" s="13">
        <v>0</v>
      </c>
      <c r="E48" s="13">
        <v>7438.5128693994284</v>
      </c>
      <c r="F48" s="13">
        <v>0</v>
      </c>
      <c r="G48" s="13">
        <v>7438.5128693994284</v>
      </c>
    </row>
    <row r="49" spans="1:7" x14ac:dyDescent="0.35">
      <c r="A49" s="12" t="s">
        <v>77</v>
      </c>
      <c r="B49" s="13" t="s">
        <v>26</v>
      </c>
      <c r="C49" s="13" t="s">
        <v>27</v>
      </c>
      <c r="D49" s="13">
        <v>202.97029702970298</v>
      </c>
      <c r="E49" s="13">
        <v>83.024462564862858</v>
      </c>
      <c r="F49" s="13">
        <v>38.062283737024217</v>
      </c>
      <c r="G49" s="13">
        <v>324.11067193675888</v>
      </c>
    </row>
    <row r="50" spans="1:7" x14ac:dyDescent="0.35">
      <c r="A50" s="12" t="s">
        <v>77</v>
      </c>
      <c r="B50" s="13" t="s">
        <v>28</v>
      </c>
      <c r="C50" s="13" t="s">
        <v>29</v>
      </c>
      <c r="D50" s="13">
        <v>144.94988434849654</v>
      </c>
      <c r="E50" s="13">
        <v>779.81651376146783</v>
      </c>
      <c r="F50" s="13">
        <v>1</v>
      </c>
      <c r="G50" s="13">
        <v>926.04765817584212</v>
      </c>
    </row>
    <row r="51" spans="1:7" x14ac:dyDescent="0.35">
      <c r="A51" s="12" t="s">
        <v>77</v>
      </c>
      <c r="B51" s="13" t="s">
        <v>30</v>
      </c>
      <c r="C51" s="13" t="s">
        <v>31</v>
      </c>
      <c r="D51" s="13">
        <v>294.11764705882354</v>
      </c>
      <c r="E51" s="13">
        <v>854.13005272407736</v>
      </c>
      <c r="F51" s="13">
        <v>4</v>
      </c>
      <c r="G51" s="13">
        <v>1152.0076481835563</v>
      </c>
    </row>
    <row r="52" spans="1:7" x14ac:dyDescent="0.35">
      <c r="A52" s="12" t="s">
        <v>77</v>
      </c>
      <c r="B52" s="13" t="s">
        <v>32</v>
      </c>
      <c r="C52" s="13" t="s">
        <v>33</v>
      </c>
      <c r="D52" s="13">
        <v>5702.8061224489793</v>
      </c>
      <c r="E52" s="13">
        <v>11088.062622309197</v>
      </c>
      <c r="F52" s="13">
        <v>1219.0305206463195</v>
      </c>
      <c r="G52" s="13">
        <v>18007.34522560336</v>
      </c>
    </row>
    <row r="53" spans="1:7" x14ac:dyDescent="0.35">
      <c r="A53" s="12" t="s">
        <v>77</v>
      </c>
      <c r="B53" s="13" t="s">
        <v>34</v>
      </c>
      <c r="C53" s="13" t="s">
        <v>35</v>
      </c>
      <c r="D53" s="13">
        <v>239.01393354769559</v>
      </c>
      <c r="E53" s="13">
        <v>891.6015625</v>
      </c>
      <c r="F53" s="13">
        <v>1</v>
      </c>
      <c r="G53" s="13">
        <v>1132.4701195219122</v>
      </c>
    </row>
    <row r="54" spans="1:7" x14ac:dyDescent="0.35">
      <c r="A54" s="12" t="s">
        <v>77</v>
      </c>
      <c r="B54" s="13" t="s">
        <v>36</v>
      </c>
      <c r="C54" s="13" t="s">
        <v>37</v>
      </c>
      <c r="D54" s="13">
        <v>227.06766917293231</v>
      </c>
      <c r="E54" s="13">
        <v>257.90010193679922</v>
      </c>
      <c r="F54" s="13">
        <v>0</v>
      </c>
      <c r="G54" s="13">
        <v>484.99399759903963</v>
      </c>
    </row>
    <row r="55" spans="1:7" x14ac:dyDescent="0.35">
      <c r="A55" s="12" t="s">
        <v>77</v>
      </c>
      <c r="B55" s="13" t="s">
        <v>38</v>
      </c>
      <c r="C55" s="13" t="s">
        <v>39</v>
      </c>
      <c r="D55" s="13">
        <v>334.87940630797772</v>
      </c>
      <c r="E55" s="13">
        <v>280.10704727921501</v>
      </c>
      <c r="F55" s="13">
        <v>139.02439024390242</v>
      </c>
      <c r="G55" s="13">
        <v>754.30210325047801</v>
      </c>
    </row>
    <row r="56" spans="1:7" x14ac:dyDescent="0.35">
      <c r="A56" s="12" t="s">
        <v>77</v>
      </c>
      <c r="B56" s="13" t="s">
        <v>40</v>
      </c>
      <c r="C56" s="13" t="s">
        <v>41</v>
      </c>
      <c r="D56" s="13">
        <v>0</v>
      </c>
      <c r="E56" s="13">
        <v>0</v>
      </c>
      <c r="F56" s="13">
        <v>0</v>
      </c>
      <c r="G56" s="13">
        <v>0</v>
      </c>
    </row>
    <row r="57" spans="1:7" x14ac:dyDescent="0.35">
      <c r="A57" s="12" t="s">
        <v>77</v>
      </c>
      <c r="B57" s="13" t="s">
        <v>42</v>
      </c>
      <c r="C57" s="13" t="s">
        <v>43</v>
      </c>
      <c r="D57" s="13">
        <v>1377.3216031280549</v>
      </c>
      <c r="E57" s="13">
        <v>1947.2222222222222</v>
      </c>
      <c r="F57" s="13">
        <v>4</v>
      </c>
      <c r="G57" s="13">
        <v>3328.5984848484845</v>
      </c>
    </row>
    <row r="58" spans="1:7" x14ac:dyDescent="0.35">
      <c r="A58" s="12" t="s">
        <v>77</v>
      </c>
      <c r="B58" s="13" t="s">
        <v>44</v>
      </c>
      <c r="C58" s="13" t="s">
        <v>45</v>
      </c>
      <c r="D58" s="13">
        <v>2909.0098126672615</v>
      </c>
      <c r="E58" s="13">
        <v>7334.1269841269841</v>
      </c>
      <c r="F58" s="13">
        <v>64.00742115027829</v>
      </c>
      <c r="G58" s="13">
        <v>10304.098360655738</v>
      </c>
    </row>
    <row r="59" spans="1:7" x14ac:dyDescent="0.35">
      <c r="A59" s="12" t="s">
        <v>77</v>
      </c>
      <c r="B59" s="13" t="s">
        <v>46</v>
      </c>
      <c r="C59" s="13" t="s">
        <v>47</v>
      </c>
      <c r="D59" s="13">
        <v>290.00969932104755</v>
      </c>
      <c r="E59" s="13">
        <v>1025.3456221198157</v>
      </c>
      <c r="F59" s="13">
        <v>325.97498160412067</v>
      </c>
      <c r="G59" s="13">
        <v>1640.6003159557661</v>
      </c>
    </row>
    <row r="60" spans="1:7" x14ac:dyDescent="0.35">
      <c r="A60" s="12" t="s">
        <v>77</v>
      </c>
      <c r="B60" s="13" t="s">
        <v>60</v>
      </c>
      <c r="C60" s="12" t="s">
        <v>61</v>
      </c>
      <c r="D60" s="13">
        <v>0</v>
      </c>
      <c r="E60" s="13">
        <v>0</v>
      </c>
      <c r="F60" s="13">
        <v>0</v>
      </c>
      <c r="G60" s="13">
        <v>0</v>
      </c>
    </row>
    <row r="61" spans="1:7" x14ac:dyDescent="0.35">
      <c r="A61" s="12" t="s">
        <v>77</v>
      </c>
      <c r="B61" s="13" t="s">
        <v>48</v>
      </c>
      <c r="C61" s="13" t="s">
        <v>49</v>
      </c>
      <c r="D61" s="13">
        <v>2133.0275229357799</v>
      </c>
      <c r="E61" s="13">
        <v>6358.9743589743584</v>
      </c>
      <c r="F61" s="13">
        <v>17.04545454545454</v>
      </c>
      <c r="G61" s="13">
        <v>8509.1787439613527</v>
      </c>
    </row>
    <row r="62" spans="1:7" x14ac:dyDescent="0.35">
      <c r="A62" s="12" t="s">
        <v>77</v>
      </c>
      <c r="B62" s="12" t="s">
        <v>57</v>
      </c>
      <c r="C62" s="13" t="s">
        <v>58</v>
      </c>
      <c r="D62" s="13">
        <v>72.018890200708384</v>
      </c>
      <c r="E62" s="13">
        <v>810.75491209927611</v>
      </c>
      <c r="F62" s="13">
        <v>4</v>
      </c>
      <c r="G62" s="13">
        <v>887.02928870292885</v>
      </c>
    </row>
    <row r="63" spans="1:7" x14ac:dyDescent="0.35">
      <c r="A63" s="12" t="s">
        <v>77</v>
      </c>
      <c r="B63" s="13" t="s">
        <v>50</v>
      </c>
      <c r="C63" s="13" t="s">
        <v>51</v>
      </c>
      <c r="D63" s="13">
        <v>435.25179856115108</v>
      </c>
      <c r="E63" s="13">
        <v>1232.5141776937617</v>
      </c>
      <c r="F63" s="13">
        <v>35.989717223650388</v>
      </c>
      <c r="G63" s="13">
        <v>1703.1408308004052</v>
      </c>
    </row>
    <row r="64" spans="1:7" x14ac:dyDescent="0.35">
      <c r="A64" s="12" t="s">
        <v>77</v>
      </c>
      <c r="B64" s="13" t="s">
        <v>52</v>
      </c>
      <c r="C64" s="13" t="s">
        <v>53</v>
      </c>
      <c r="D64" s="13">
        <v>0</v>
      </c>
      <c r="E64" s="13">
        <v>1033.8308457711444</v>
      </c>
      <c r="F64" s="13">
        <v>0</v>
      </c>
      <c r="G64" s="13">
        <v>1033.8308457711444</v>
      </c>
    </row>
    <row r="65" spans="1:7" x14ac:dyDescent="0.35">
      <c r="A65" s="12" t="s">
        <v>77</v>
      </c>
      <c r="B65" s="13" t="s">
        <v>52</v>
      </c>
      <c r="C65" s="13" t="s">
        <v>54</v>
      </c>
      <c r="D65" s="13">
        <v>1158.4158415841584</v>
      </c>
      <c r="E65" s="13">
        <v>517.8236397748592</v>
      </c>
      <c r="F65" s="13">
        <v>142.01815269620928</v>
      </c>
      <c r="G65" s="13">
        <v>1817.7892918825562</v>
      </c>
    </row>
    <row r="66" spans="1:7" x14ac:dyDescent="0.35">
      <c r="A66" s="12" t="s">
        <v>77</v>
      </c>
      <c r="B66" s="13" t="s">
        <v>62</v>
      </c>
      <c r="C66" s="12" t="s">
        <v>63</v>
      </c>
      <c r="D66" s="13">
        <v>0</v>
      </c>
      <c r="E66" s="13">
        <v>0</v>
      </c>
      <c r="F66" s="13">
        <v>0</v>
      </c>
      <c r="G66" s="13">
        <v>0</v>
      </c>
    </row>
    <row r="67" spans="1:7" x14ac:dyDescent="0.35">
      <c r="A67" s="12" t="s">
        <v>77</v>
      </c>
      <c r="B67" s="13" t="s">
        <v>55</v>
      </c>
      <c r="C67" s="13" t="s">
        <v>56</v>
      </c>
      <c r="D67" s="13">
        <v>7985.0597609561755</v>
      </c>
      <c r="E67" s="13">
        <v>36043.851286939942</v>
      </c>
      <c r="F67" s="13">
        <v>0</v>
      </c>
      <c r="G67" s="13">
        <v>44022.094140249763</v>
      </c>
    </row>
    <row r="68" spans="1:7" x14ac:dyDescent="0.35">
      <c r="A68" s="12" t="s">
        <v>78</v>
      </c>
      <c r="B68" s="13" t="s">
        <v>6</v>
      </c>
      <c r="C68" s="13" t="s">
        <v>7</v>
      </c>
      <c r="D68" s="13">
        <v>823.08</v>
      </c>
      <c r="E68" s="13">
        <v>3132.6</v>
      </c>
      <c r="F68" s="13">
        <v>356.05</v>
      </c>
      <c r="G68" s="13">
        <f>SUM(D68:F68)</f>
        <v>4311.7299999999996</v>
      </c>
    </row>
    <row r="69" spans="1:7" x14ac:dyDescent="0.35">
      <c r="A69" s="12" t="s">
        <v>78</v>
      </c>
      <c r="B69" s="13" t="s">
        <v>8</v>
      </c>
      <c r="C69" s="13" t="s">
        <v>9</v>
      </c>
      <c r="D69" s="13">
        <v>1578.2</v>
      </c>
      <c r="E69" s="13">
        <v>1607.63</v>
      </c>
      <c r="F69" s="13">
        <v>338.49</v>
      </c>
      <c r="G69" s="13">
        <f t="shared" ref="G69" si="1">SUM(D69:F69)</f>
        <v>3524.3199999999997</v>
      </c>
    </row>
    <row r="70" spans="1:7" x14ac:dyDescent="0.35">
      <c r="A70" s="12" t="s">
        <v>78</v>
      </c>
      <c r="B70" s="13" t="s">
        <v>8</v>
      </c>
      <c r="C70" s="12" t="s">
        <v>59</v>
      </c>
      <c r="D70" s="13"/>
      <c r="E70" s="13"/>
      <c r="F70" s="13"/>
      <c r="G70" s="13">
        <f>SUM(D70:F70)</f>
        <v>0</v>
      </c>
    </row>
    <row r="71" spans="1:7" x14ac:dyDescent="0.35">
      <c r="A71" s="12" t="s">
        <v>78</v>
      </c>
      <c r="B71" s="13" t="s">
        <v>10</v>
      </c>
      <c r="C71" s="13" t="s">
        <v>11</v>
      </c>
      <c r="D71" s="13">
        <v>152.09</v>
      </c>
      <c r="E71" s="13">
        <v>483.33</v>
      </c>
      <c r="F71" s="12">
        <v>1.94</v>
      </c>
      <c r="G71" s="13">
        <f t="shared" ref="G71" si="2">SUM(D71:F71)</f>
        <v>637.36</v>
      </c>
    </row>
    <row r="72" spans="1:7" x14ac:dyDescent="0.35">
      <c r="A72" s="12" t="s">
        <v>78</v>
      </c>
      <c r="B72" s="13" t="s">
        <v>64</v>
      </c>
      <c r="C72" s="12" t="s">
        <v>65</v>
      </c>
      <c r="D72" s="13"/>
      <c r="E72" s="13"/>
      <c r="F72" s="12"/>
      <c r="G72" s="13"/>
    </row>
    <row r="73" spans="1:7" x14ac:dyDescent="0.35">
      <c r="A73" s="12" t="s">
        <v>78</v>
      </c>
      <c r="B73" s="13" t="s">
        <v>12</v>
      </c>
      <c r="C73" s="13" t="s">
        <v>13</v>
      </c>
      <c r="D73" s="13">
        <v>687.74</v>
      </c>
      <c r="E73" s="13">
        <v>1367.07</v>
      </c>
      <c r="F73" s="13">
        <v>86.37</v>
      </c>
      <c r="G73" s="13">
        <f t="shared" ref="G73:G78" si="3">SUM(D73:F73)</f>
        <v>2141.1799999999998</v>
      </c>
    </row>
    <row r="74" spans="1:7" x14ac:dyDescent="0.35">
      <c r="A74" s="12" t="s">
        <v>78</v>
      </c>
      <c r="B74" s="13" t="s">
        <v>14</v>
      </c>
      <c r="C74" s="13" t="s">
        <v>15</v>
      </c>
      <c r="D74" s="13">
        <v>6292</v>
      </c>
      <c r="E74" s="13">
        <v>15538</v>
      </c>
      <c r="F74" s="13">
        <v>380</v>
      </c>
      <c r="G74" s="13">
        <f t="shared" si="3"/>
        <v>22210</v>
      </c>
    </row>
    <row r="75" spans="1:7" x14ac:dyDescent="0.35">
      <c r="A75" s="12" t="s">
        <v>78</v>
      </c>
      <c r="B75" s="13" t="s">
        <v>16</v>
      </c>
      <c r="C75" s="13" t="s">
        <v>17</v>
      </c>
      <c r="D75" s="13">
        <v>1106.18</v>
      </c>
      <c r="E75" s="13">
        <v>2285.75</v>
      </c>
      <c r="F75" s="13">
        <v>69.760000000000005</v>
      </c>
      <c r="G75" s="13">
        <f t="shared" si="3"/>
        <v>3461.6900000000005</v>
      </c>
    </row>
    <row r="76" spans="1:7" x14ac:dyDescent="0.35">
      <c r="A76" s="12" t="s">
        <v>78</v>
      </c>
      <c r="B76" s="13" t="s">
        <v>18</v>
      </c>
      <c r="C76" s="13" t="s">
        <v>19</v>
      </c>
      <c r="D76" s="13">
        <v>198</v>
      </c>
      <c r="E76" s="13">
        <v>482</v>
      </c>
      <c r="F76" s="12"/>
      <c r="G76" s="13">
        <f t="shared" si="3"/>
        <v>680</v>
      </c>
    </row>
    <row r="77" spans="1:7" x14ac:dyDescent="0.35">
      <c r="A77" s="12" t="s">
        <v>78</v>
      </c>
      <c r="B77" s="13" t="s">
        <v>20</v>
      </c>
      <c r="C77" s="13" t="s">
        <v>21</v>
      </c>
      <c r="D77" s="13">
        <v>2956.24</v>
      </c>
      <c r="E77" s="13">
        <v>1803.86</v>
      </c>
      <c r="F77" s="13">
        <v>330.13</v>
      </c>
      <c r="G77" s="13">
        <f t="shared" si="3"/>
        <v>5090.2299999999996</v>
      </c>
    </row>
    <row r="78" spans="1:7" x14ac:dyDescent="0.35">
      <c r="A78" s="12" t="s">
        <v>78</v>
      </c>
      <c r="B78" s="13" t="s">
        <v>20</v>
      </c>
      <c r="C78" s="13" t="s">
        <v>22</v>
      </c>
      <c r="D78" s="12"/>
      <c r="E78" s="13">
        <v>2700.76</v>
      </c>
      <c r="F78" s="13"/>
      <c r="G78" s="13">
        <f t="shared" si="3"/>
        <v>2700.76</v>
      </c>
    </row>
    <row r="79" spans="1:7" x14ac:dyDescent="0.35">
      <c r="A79" s="12" t="s">
        <v>78</v>
      </c>
      <c r="B79" s="13" t="s">
        <v>66</v>
      </c>
      <c r="C79" s="12" t="s">
        <v>67</v>
      </c>
      <c r="D79" s="12"/>
      <c r="E79" s="13"/>
      <c r="F79" s="13"/>
      <c r="G79" s="13"/>
    </row>
    <row r="80" spans="1:7" x14ac:dyDescent="0.35">
      <c r="A80" s="12" t="s">
        <v>78</v>
      </c>
      <c r="B80" s="13" t="s">
        <v>23</v>
      </c>
      <c r="C80" s="13" t="s">
        <v>24</v>
      </c>
      <c r="D80" s="13">
        <v>7315</v>
      </c>
      <c r="E80" s="13">
        <v>14125</v>
      </c>
      <c r="F80" s="13">
        <v>2461</v>
      </c>
      <c r="G80" s="13">
        <f t="shared" ref="G80:G94" si="4">SUM(D80:F80)</f>
        <v>23901</v>
      </c>
    </row>
    <row r="81" spans="1:7" x14ac:dyDescent="0.35">
      <c r="A81" s="12" t="s">
        <v>78</v>
      </c>
      <c r="B81" s="13" t="s">
        <v>23</v>
      </c>
      <c r="C81" s="13" t="s">
        <v>25</v>
      </c>
      <c r="D81" s="12"/>
      <c r="E81" s="13">
        <v>5718</v>
      </c>
      <c r="F81" s="13"/>
      <c r="G81" s="13">
        <f t="shared" si="4"/>
        <v>5718</v>
      </c>
    </row>
    <row r="82" spans="1:7" x14ac:dyDescent="0.35">
      <c r="A82" s="12" t="s">
        <v>78</v>
      </c>
      <c r="B82" s="13" t="s">
        <v>26</v>
      </c>
      <c r="C82" s="13" t="s">
        <v>27</v>
      </c>
      <c r="D82" s="13">
        <v>136.78</v>
      </c>
      <c r="E82" s="13">
        <v>37.26</v>
      </c>
      <c r="F82" s="13">
        <v>42.89</v>
      </c>
      <c r="G82" s="13">
        <f t="shared" si="4"/>
        <v>216.93</v>
      </c>
    </row>
    <row r="83" spans="1:7" x14ac:dyDescent="0.35">
      <c r="A83" s="12" t="s">
        <v>78</v>
      </c>
      <c r="B83" s="13" t="s">
        <v>28</v>
      </c>
      <c r="C83" s="13" t="s">
        <v>29</v>
      </c>
      <c r="D83" s="13">
        <v>96.96</v>
      </c>
      <c r="E83" s="13">
        <v>597.22</v>
      </c>
      <c r="F83" s="13">
        <v>8.1999999999999993</v>
      </c>
      <c r="G83" s="13">
        <f t="shared" si="4"/>
        <v>702.38000000000011</v>
      </c>
    </row>
    <row r="84" spans="1:7" x14ac:dyDescent="0.35">
      <c r="A84" s="12" t="s">
        <v>78</v>
      </c>
      <c r="B84" s="13" t="s">
        <v>30</v>
      </c>
      <c r="C84" s="13" t="s">
        <v>31</v>
      </c>
      <c r="D84" s="13">
        <v>270.44</v>
      </c>
      <c r="E84" s="13">
        <v>714.82</v>
      </c>
      <c r="F84" s="13">
        <v>135.22</v>
      </c>
      <c r="G84" s="13">
        <f t="shared" si="4"/>
        <v>1120.48</v>
      </c>
    </row>
    <row r="85" spans="1:7" x14ac:dyDescent="0.35">
      <c r="A85" s="12" t="s">
        <v>78</v>
      </c>
      <c r="B85" s="13" t="s">
        <v>32</v>
      </c>
      <c r="C85" s="13" t="s">
        <v>33</v>
      </c>
      <c r="D85" s="13">
        <v>6119</v>
      </c>
      <c r="E85" s="13">
        <v>7906</v>
      </c>
      <c r="F85" s="13">
        <v>1475</v>
      </c>
      <c r="G85" s="13">
        <f t="shared" si="4"/>
        <v>15500</v>
      </c>
    </row>
    <row r="86" spans="1:7" x14ac:dyDescent="0.35">
      <c r="A86" s="12" t="s">
        <v>78</v>
      </c>
      <c r="B86" s="13" t="s">
        <v>34</v>
      </c>
      <c r="C86" s="13" t="s">
        <v>35</v>
      </c>
      <c r="D86" s="13">
        <v>218</v>
      </c>
      <c r="E86" s="13">
        <v>773</v>
      </c>
      <c r="F86" s="13">
        <v>1</v>
      </c>
      <c r="G86" s="13">
        <f t="shared" si="4"/>
        <v>992</v>
      </c>
    </row>
    <row r="87" spans="1:7" x14ac:dyDescent="0.35">
      <c r="A87" s="12" t="s">
        <v>78</v>
      </c>
      <c r="B87" s="13" t="s">
        <v>36</v>
      </c>
      <c r="C87" s="13" t="s">
        <v>37</v>
      </c>
      <c r="D87" s="13">
        <v>113</v>
      </c>
      <c r="E87" s="13">
        <v>260</v>
      </c>
      <c r="F87" s="13"/>
      <c r="G87" s="13">
        <f t="shared" si="4"/>
        <v>373</v>
      </c>
    </row>
    <row r="88" spans="1:7" x14ac:dyDescent="0.35">
      <c r="A88" s="12" t="s">
        <v>78</v>
      </c>
      <c r="B88" s="13" t="s">
        <v>38</v>
      </c>
      <c r="C88" s="13" t="s">
        <v>39</v>
      </c>
      <c r="D88" s="13">
        <v>250.73</v>
      </c>
      <c r="E88" s="13">
        <v>282.87</v>
      </c>
      <c r="F88" s="13">
        <v>118.11</v>
      </c>
      <c r="G88" s="13">
        <f t="shared" si="4"/>
        <v>651.71</v>
      </c>
    </row>
    <row r="89" spans="1:7" x14ac:dyDescent="0.35">
      <c r="A89" s="12" t="s">
        <v>78</v>
      </c>
      <c r="B89" s="13" t="s">
        <v>40</v>
      </c>
      <c r="C89" s="13" t="s">
        <v>41</v>
      </c>
      <c r="D89" s="13">
        <v>3477</v>
      </c>
      <c r="E89" s="13"/>
      <c r="F89" s="13"/>
      <c r="G89" s="13">
        <f t="shared" si="4"/>
        <v>3477</v>
      </c>
    </row>
    <row r="90" spans="1:7" x14ac:dyDescent="0.35">
      <c r="A90" s="12" t="s">
        <v>78</v>
      </c>
      <c r="B90" s="13" t="s">
        <v>42</v>
      </c>
      <c r="C90" s="13" t="s">
        <v>43</v>
      </c>
      <c r="D90" s="13">
        <v>1420.36</v>
      </c>
      <c r="E90" s="13">
        <v>1874.78</v>
      </c>
      <c r="F90" s="13">
        <v>7.91</v>
      </c>
      <c r="G90" s="13">
        <f t="shared" si="4"/>
        <v>3303.0499999999997</v>
      </c>
    </row>
    <row r="91" spans="1:7" x14ac:dyDescent="0.35">
      <c r="A91" s="12" t="s">
        <v>78</v>
      </c>
      <c r="B91" s="13" t="s">
        <v>44</v>
      </c>
      <c r="C91" s="13" t="s">
        <v>45</v>
      </c>
      <c r="D91" s="13">
        <v>2936.33</v>
      </c>
      <c r="E91" s="13">
        <v>5996.37</v>
      </c>
      <c r="F91" s="13">
        <v>49.73</v>
      </c>
      <c r="G91" s="13">
        <f t="shared" si="4"/>
        <v>8982.43</v>
      </c>
    </row>
    <row r="92" spans="1:7" x14ac:dyDescent="0.35">
      <c r="A92" s="12" t="s">
        <v>78</v>
      </c>
      <c r="B92" s="13" t="s">
        <v>46</v>
      </c>
      <c r="C92" s="13" t="s">
        <v>47</v>
      </c>
      <c r="D92" s="13">
        <v>235</v>
      </c>
      <c r="E92" s="13">
        <v>788</v>
      </c>
      <c r="F92" s="13">
        <v>408</v>
      </c>
      <c r="G92" s="13">
        <f t="shared" si="4"/>
        <v>1431</v>
      </c>
    </row>
    <row r="93" spans="1:7" x14ac:dyDescent="0.35">
      <c r="A93" s="12" t="s">
        <v>78</v>
      </c>
      <c r="B93" s="13" t="s">
        <v>60</v>
      </c>
      <c r="C93" s="12" t="s">
        <v>61</v>
      </c>
      <c r="D93" s="13"/>
      <c r="E93" s="13"/>
      <c r="F93" s="12"/>
      <c r="G93" s="13">
        <f t="shared" si="4"/>
        <v>0</v>
      </c>
    </row>
    <row r="94" spans="1:7" x14ac:dyDescent="0.35">
      <c r="A94" s="12" t="s">
        <v>78</v>
      </c>
      <c r="B94" s="13" t="s">
        <v>48</v>
      </c>
      <c r="C94" s="13" t="s">
        <v>49</v>
      </c>
      <c r="D94" s="13">
        <v>2097.23</v>
      </c>
      <c r="E94" s="13">
        <v>6933.4</v>
      </c>
      <c r="F94" s="13">
        <v>6.2</v>
      </c>
      <c r="G94" s="13">
        <f t="shared" si="4"/>
        <v>9036.83</v>
      </c>
    </row>
    <row r="95" spans="1:7" x14ac:dyDescent="0.35">
      <c r="A95" s="12" t="s">
        <v>78</v>
      </c>
      <c r="B95" s="12" t="s">
        <v>57</v>
      </c>
      <c r="C95" s="13" t="s">
        <v>58</v>
      </c>
      <c r="D95" s="13"/>
      <c r="E95" s="13"/>
      <c r="F95" s="13"/>
      <c r="G95" s="13"/>
    </row>
    <row r="96" spans="1:7" x14ac:dyDescent="0.35">
      <c r="A96" s="12" t="s">
        <v>78</v>
      </c>
      <c r="B96" s="13" t="s">
        <v>50</v>
      </c>
      <c r="C96" s="13" t="s">
        <v>51</v>
      </c>
      <c r="D96" s="13">
        <v>338</v>
      </c>
      <c r="E96" s="13">
        <v>988</v>
      </c>
      <c r="F96" s="13">
        <v>33</v>
      </c>
      <c r="G96" s="13">
        <f t="shared" ref="G96:G98" si="5">SUM(D96:F96)</f>
        <v>1359</v>
      </c>
    </row>
    <row r="97" spans="1:7" x14ac:dyDescent="0.35">
      <c r="A97" s="12" t="s">
        <v>78</v>
      </c>
      <c r="B97" s="13" t="s">
        <v>52</v>
      </c>
      <c r="C97" s="13" t="s">
        <v>53</v>
      </c>
      <c r="D97" s="12"/>
      <c r="E97" s="13">
        <v>698.62</v>
      </c>
      <c r="F97" s="13"/>
      <c r="G97" s="13">
        <f t="shared" si="5"/>
        <v>698.62</v>
      </c>
    </row>
    <row r="98" spans="1:7" x14ac:dyDescent="0.35">
      <c r="A98" s="12" t="s">
        <v>78</v>
      </c>
      <c r="B98" s="13" t="s">
        <v>52</v>
      </c>
      <c r="C98" s="13" t="s">
        <v>54</v>
      </c>
      <c r="D98" s="13">
        <v>1352.66</v>
      </c>
      <c r="E98" s="13">
        <v>329.54</v>
      </c>
      <c r="F98" s="13">
        <v>131.53</v>
      </c>
      <c r="G98" s="13">
        <f t="shared" si="5"/>
        <v>1813.73</v>
      </c>
    </row>
    <row r="99" spans="1:7" x14ac:dyDescent="0.35">
      <c r="A99" s="12" t="s">
        <v>78</v>
      </c>
      <c r="B99" s="13" t="s">
        <v>62</v>
      </c>
      <c r="C99" s="12" t="s">
        <v>63</v>
      </c>
      <c r="D99" s="13"/>
      <c r="E99" s="13"/>
      <c r="F99" s="13"/>
      <c r="G99" s="13"/>
    </row>
    <row r="100" spans="1:7" x14ac:dyDescent="0.35">
      <c r="A100" s="12" t="s">
        <v>78</v>
      </c>
      <c r="B100" s="13" t="s">
        <v>55</v>
      </c>
      <c r="C100" s="13" t="s">
        <v>56</v>
      </c>
      <c r="D100" s="13">
        <v>7878.86</v>
      </c>
      <c r="E100" s="13">
        <v>35453.68</v>
      </c>
      <c r="F100" s="13"/>
      <c r="G100" s="13">
        <f t="shared" ref="G100" si="6">SUM(D100:F100)</f>
        <v>43332.54</v>
      </c>
    </row>
    <row r="101" spans="1:7" x14ac:dyDescent="0.35">
      <c r="A101" s="12" t="s">
        <v>79</v>
      </c>
      <c r="B101" s="13" t="s">
        <v>6</v>
      </c>
      <c r="C101" s="13" t="s">
        <v>7</v>
      </c>
      <c r="D101" s="12">
        <v>689.72</v>
      </c>
      <c r="E101" s="12">
        <v>2983.5</v>
      </c>
      <c r="F101" s="12">
        <v>199.26</v>
      </c>
      <c r="G101" s="11">
        <f>SUM(D101:F101)</f>
        <v>3872.4800000000005</v>
      </c>
    </row>
    <row r="102" spans="1:7" x14ac:dyDescent="0.35">
      <c r="A102" s="12" t="s">
        <v>79</v>
      </c>
      <c r="B102" s="13" t="s">
        <v>8</v>
      </c>
      <c r="C102" s="13" t="s">
        <v>9</v>
      </c>
      <c r="D102" s="11">
        <v>1277.73</v>
      </c>
      <c r="E102" s="12">
        <v>1509.01</v>
      </c>
      <c r="F102" s="12">
        <v>376.52</v>
      </c>
      <c r="G102" s="11">
        <f t="shared" ref="G102:G104" si="7">SUM(D102:F102)</f>
        <v>3163.2599999999998</v>
      </c>
    </row>
    <row r="103" spans="1:7" x14ac:dyDescent="0.35">
      <c r="A103" s="12" t="s">
        <v>79</v>
      </c>
      <c r="B103" s="13" t="s">
        <v>8</v>
      </c>
      <c r="C103" s="12" t="s">
        <v>59</v>
      </c>
      <c r="D103" s="13"/>
      <c r="E103" s="12">
        <v>1050</v>
      </c>
      <c r="F103" s="12"/>
      <c r="G103" s="11">
        <f t="shared" si="7"/>
        <v>1050</v>
      </c>
    </row>
    <row r="104" spans="1:7" x14ac:dyDescent="0.35">
      <c r="A104" s="12" t="s">
        <v>79</v>
      </c>
      <c r="B104" s="13" t="s">
        <v>10</v>
      </c>
      <c r="C104" s="13" t="s">
        <v>11</v>
      </c>
      <c r="D104" s="12">
        <v>136.22999999999999</v>
      </c>
      <c r="E104" s="12">
        <v>421.55</v>
      </c>
      <c r="F104" s="12">
        <v>4.4400000000000004</v>
      </c>
      <c r="G104" s="11">
        <f t="shared" si="7"/>
        <v>562.22</v>
      </c>
    </row>
    <row r="105" spans="1:7" x14ac:dyDescent="0.35">
      <c r="A105" s="12" t="s">
        <v>79</v>
      </c>
      <c r="B105" s="13" t="s">
        <v>64</v>
      </c>
      <c r="C105" s="12" t="s">
        <v>65</v>
      </c>
      <c r="D105" s="12"/>
      <c r="E105" s="12"/>
      <c r="F105" s="12"/>
      <c r="G105" s="11"/>
    </row>
    <row r="106" spans="1:7" x14ac:dyDescent="0.35">
      <c r="A106" s="12" t="s">
        <v>79</v>
      </c>
      <c r="B106" s="13" t="s">
        <v>12</v>
      </c>
      <c r="C106" s="13" t="s">
        <v>13</v>
      </c>
      <c r="D106" s="12">
        <v>539.49</v>
      </c>
      <c r="E106" s="12">
        <v>1187.32</v>
      </c>
      <c r="F106" s="12">
        <v>64.790000000000006</v>
      </c>
      <c r="G106" s="11">
        <f t="shared" ref="G106:G111" si="8">SUM(D106:F106)</f>
        <v>1791.6</v>
      </c>
    </row>
    <row r="107" spans="1:7" x14ac:dyDescent="0.35">
      <c r="A107" s="12" t="s">
        <v>79</v>
      </c>
      <c r="B107" s="13" t="s">
        <v>14</v>
      </c>
      <c r="C107" s="13" t="s">
        <v>15</v>
      </c>
      <c r="D107" s="12">
        <v>5936</v>
      </c>
      <c r="E107" s="12">
        <v>6576</v>
      </c>
      <c r="F107" s="12">
        <v>744</v>
      </c>
      <c r="G107" s="11">
        <f t="shared" si="8"/>
        <v>13256</v>
      </c>
    </row>
    <row r="108" spans="1:7" x14ac:dyDescent="0.35">
      <c r="A108" s="12" t="s">
        <v>79</v>
      </c>
      <c r="B108" s="13" t="s">
        <v>16</v>
      </c>
      <c r="C108" s="13" t="s">
        <v>17</v>
      </c>
      <c r="D108" s="12">
        <v>1135.83</v>
      </c>
      <c r="E108" s="12">
        <v>2004.48</v>
      </c>
      <c r="F108" s="12">
        <v>41.01</v>
      </c>
      <c r="G108" s="11">
        <f t="shared" si="8"/>
        <v>3181.32</v>
      </c>
    </row>
    <row r="109" spans="1:7" x14ac:dyDescent="0.35">
      <c r="A109" s="12" t="s">
        <v>79</v>
      </c>
      <c r="B109" s="13" t="s">
        <v>18</v>
      </c>
      <c r="C109" s="13" t="s">
        <v>19</v>
      </c>
      <c r="D109" s="12">
        <v>183</v>
      </c>
      <c r="E109" s="12">
        <v>432</v>
      </c>
      <c r="F109" s="12"/>
      <c r="G109" s="11">
        <f t="shared" si="8"/>
        <v>615</v>
      </c>
    </row>
    <row r="110" spans="1:7" x14ac:dyDescent="0.35">
      <c r="A110" s="12" t="s">
        <v>79</v>
      </c>
      <c r="B110" s="13" t="s">
        <v>20</v>
      </c>
      <c r="C110" s="13" t="s">
        <v>21</v>
      </c>
      <c r="D110" s="12">
        <v>2467.63</v>
      </c>
      <c r="E110" s="12">
        <v>1567.67</v>
      </c>
      <c r="F110" s="12">
        <v>491.36</v>
      </c>
      <c r="G110" s="11">
        <f t="shared" si="8"/>
        <v>4526.66</v>
      </c>
    </row>
    <row r="111" spans="1:7" x14ac:dyDescent="0.35">
      <c r="A111" s="12" t="s">
        <v>79</v>
      </c>
      <c r="B111" s="13" t="s">
        <v>20</v>
      </c>
      <c r="C111" s="13" t="s">
        <v>22</v>
      </c>
      <c r="D111" s="13"/>
      <c r="E111" s="12">
        <v>3009</v>
      </c>
      <c r="F111" s="12"/>
      <c r="G111" s="11">
        <f t="shared" si="8"/>
        <v>3009</v>
      </c>
    </row>
    <row r="112" spans="1:7" x14ac:dyDescent="0.35">
      <c r="A112" s="12" t="s">
        <v>79</v>
      </c>
      <c r="B112" s="13" t="s">
        <v>66</v>
      </c>
      <c r="C112" s="12" t="s">
        <v>67</v>
      </c>
      <c r="D112" s="13"/>
      <c r="E112" s="12"/>
      <c r="F112" s="12"/>
      <c r="G112" s="11"/>
    </row>
    <row r="113" spans="1:7" x14ac:dyDescent="0.35">
      <c r="A113" s="12" t="s">
        <v>79</v>
      </c>
      <c r="B113" s="13" t="s">
        <v>23</v>
      </c>
      <c r="C113" s="13" t="s">
        <v>24</v>
      </c>
      <c r="D113" s="12">
        <v>6673</v>
      </c>
      <c r="E113" s="12">
        <v>14261</v>
      </c>
      <c r="F113" s="12">
        <v>1889</v>
      </c>
      <c r="G113" s="11">
        <f t="shared" ref="G113:G133" si="9">SUM(D113:F113)</f>
        <v>22823</v>
      </c>
    </row>
    <row r="114" spans="1:7" x14ac:dyDescent="0.35">
      <c r="A114" s="12" t="s">
        <v>79</v>
      </c>
      <c r="B114" s="13" t="s">
        <v>23</v>
      </c>
      <c r="C114" s="13" t="s">
        <v>25</v>
      </c>
      <c r="D114" s="13"/>
      <c r="E114" s="12">
        <v>5996</v>
      </c>
      <c r="F114" s="12"/>
      <c r="G114" s="11">
        <f t="shared" si="9"/>
        <v>5996</v>
      </c>
    </row>
    <row r="115" spans="1:7" x14ac:dyDescent="0.35">
      <c r="A115" s="12" t="s">
        <v>79</v>
      </c>
      <c r="B115" s="13" t="s">
        <v>26</v>
      </c>
      <c r="C115" s="13" t="s">
        <v>27</v>
      </c>
      <c r="D115" s="12">
        <v>134.94</v>
      </c>
      <c r="E115" s="12">
        <v>61.07</v>
      </c>
      <c r="F115" s="12">
        <v>78.78</v>
      </c>
      <c r="G115" s="11">
        <f t="shared" si="9"/>
        <v>274.78999999999996</v>
      </c>
    </row>
    <row r="116" spans="1:7" x14ac:dyDescent="0.35">
      <c r="A116" s="12" t="s">
        <v>79</v>
      </c>
      <c r="B116" s="13" t="s">
        <v>28</v>
      </c>
      <c r="C116" s="13" t="s">
        <v>29</v>
      </c>
      <c r="D116" s="12">
        <v>69.62</v>
      </c>
      <c r="E116" s="12">
        <v>477.03</v>
      </c>
      <c r="F116" s="12">
        <v>2.0499999999999998</v>
      </c>
      <c r="G116" s="11">
        <f t="shared" si="9"/>
        <v>548.69999999999993</v>
      </c>
    </row>
    <row r="117" spans="1:7" x14ac:dyDescent="0.35">
      <c r="A117" s="12" t="s">
        <v>79</v>
      </c>
      <c r="B117" s="13" t="s">
        <v>30</v>
      </c>
      <c r="C117" s="13" t="s">
        <v>31</v>
      </c>
      <c r="D117" s="12">
        <v>258.57</v>
      </c>
      <c r="E117" s="12">
        <v>702.19</v>
      </c>
      <c r="F117" s="12">
        <v>16.05</v>
      </c>
      <c r="G117" s="11">
        <f t="shared" si="9"/>
        <v>976.81</v>
      </c>
    </row>
    <row r="118" spans="1:7" x14ac:dyDescent="0.35">
      <c r="A118" s="12" t="s">
        <v>79</v>
      </c>
      <c r="B118" s="13" t="s">
        <v>32</v>
      </c>
      <c r="C118" s="13" t="s">
        <v>33</v>
      </c>
      <c r="D118" s="12">
        <v>5208</v>
      </c>
      <c r="E118" s="12">
        <v>7817</v>
      </c>
      <c r="F118" s="12">
        <v>1503</v>
      </c>
      <c r="G118" s="11">
        <f t="shared" si="9"/>
        <v>14528</v>
      </c>
    </row>
    <row r="119" spans="1:7" x14ac:dyDescent="0.35">
      <c r="A119" s="12" t="s">
        <v>79</v>
      </c>
      <c r="B119" s="13" t="s">
        <v>34</v>
      </c>
      <c r="C119" s="13" t="s">
        <v>35</v>
      </c>
      <c r="D119" s="12">
        <v>240</v>
      </c>
      <c r="E119" s="12">
        <v>810</v>
      </c>
      <c r="F119" s="12"/>
      <c r="G119" s="11">
        <f t="shared" si="9"/>
        <v>1050</v>
      </c>
    </row>
    <row r="120" spans="1:7" x14ac:dyDescent="0.35">
      <c r="A120" s="12" t="s">
        <v>79</v>
      </c>
      <c r="B120" s="13" t="s">
        <v>36</v>
      </c>
      <c r="C120" s="13" t="s">
        <v>37</v>
      </c>
      <c r="D120" s="12">
        <v>100</v>
      </c>
      <c r="E120" s="12">
        <v>234</v>
      </c>
      <c r="F120" s="13"/>
      <c r="G120" s="11">
        <f t="shared" si="9"/>
        <v>334</v>
      </c>
    </row>
    <row r="121" spans="1:7" x14ac:dyDescent="0.35">
      <c r="A121" s="12" t="s">
        <v>79</v>
      </c>
      <c r="B121" s="13" t="s">
        <v>38</v>
      </c>
      <c r="C121" s="13" t="s">
        <v>39</v>
      </c>
      <c r="D121" s="12">
        <v>193.67</v>
      </c>
      <c r="E121" s="12">
        <v>289.3</v>
      </c>
      <c r="F121" s="12">
        <v>122.7</v>
      </c>
      <c r="G121" s="11">
        <f t="shared" si="9"/>
        <v>605.67000000000007</v>
      </c>
    </row>
    <row r="122" spans="1:7" x14ac:dyDescent="0.35">
      <c r="A122" s="12" t="s">
        <v>79</v>
      </c>
      <c r="B122" s="13" t="s">
        <v>40</v>
      </c>
      <c r="C122" s="13" t="s">
        <v>41</v>
      </c>
      <c r="D122" s="12"/>
      <c r="E122" s="13"/>
      <c r="F122" s="12"/>
      <c r="G122" s="11">
        <f t="shared" si="9"/>
        <v>0</v>
      </c>
    </row>
    <row r="123" spans="1:7" x14ac:dyDescent="0.35">
      <c r="A123" s="12" t="s">
        <v>79</v>
      </c>
      <c r="B123" s="13" t="s">
        <v>42</v>
      </c>
      <c r="C123" s="13" t="s">
        <v>43</v>
      </c>
      <c r="D123" s="12">
        <v>1157.24</v>
      </c>
      <c r="E123" s="12">
        <v>2187.42</v>
      </c>
      <c r="F123" s="12">
        <v>4.32</v>
      </c>
      <c r="G123" s="11">
        <f t="shared" si="9"/>
        <v>3348.98</v>
      </c>
    </row>
    <row r="124" spans="1:7" x14ac:dyDescent="0.35">
      <c r="A124" s="12" t="s">
        <v>79</v>
      </c>
      <c r="B124" s="13" t="s">
        <v>44</v>
      </c>
      <c r="C124" s="13" t="s">
        <v>45</v>
      </c>
      <c r="D124" s="12">
        <v>2822.85</v>
      </c>
      <c r="E124" s="12">
        <v>6052.94</v>
      </c>
      <c r="F124" s="12">
        <v>60.58</v>
      </c>
      <c r="G124" s="11">
        <f t="shared" si="9"/>
        <v>8936.369999999999</v>
      </c>
    </row>
    <row r="125" spans="1:7" x14ac:dyDescent="0.35">
      <c r="A125" s="12" t="s">
        <v>79</v>
      </c>
      <c r="B125" s="13" t="s">
        <v>46</v>
      </c>
      <c r="C125" s="13" t="s">
        <v>47</v>
      </c>
      <c r="D125" s="12">
        <v>280</v>
      </c>
      <c r="E125" s="12">
        <v>858</v>
      </c>
      <c r="F125" s="12">
        <v>360</v>
      </c>
      <c r="G125" s="11">
        <f t="shared" si="9"/>
        <v>1498</v>
      </c>
    </row>
    <row r="126" spans="1:7" x14ac:dyDescent="0.35">
      <c r="A126" s="12" t="s">
        <v>79</v>
      </c>
      <c r="B126" s="13" t="s">
        <v>60</v>
      </c>
      <c r="C126" s="12" t="s">
        <v>61</v>
      </c>
      <c r="D126" s="12">
        <v>5698.48</v>
      </c>
      <c r="E126" s="12">
        <v>4769.3900000000003</v>
      </c>
      <c r="F126" s="12">
        <v>84.87</v>
      </c>
      <c r="G126" s="11">
        <f t="shared" si="9"/>
        <v>10552.74</v>
      </c>
    </row>
    <row r="127" spans="1:7" x14ac:dyDescent="0.35">
      <c r="A127" s="12" t="s">
        <v>79</v>
      </c>
      <c r="B127" s="13" t="s">
        <v>48</v>
      </c>
      <c r="C127" s="13" t="s">
        <v>49</v>
      </c>
      <c r="D127" s="13">
        <f>D94/(1+4.8%)</f>
        <v>2001.1736641221373</v>
      </c>
      <c r="E127" s="13">
        <f>E94/(1+5.37%)</f>
        <v>6580.051247983296</v>
      </c>
      <c r="F127" s="13">
        <f>F94/(1+14.04%)</f>
        <v>5.4366888810943523</v>
      </c>
      <c r="G127" s="11">
        <f t="shared" si="9"/>
        <v>8586.6616009865284</v>
      </c>
    </row>
    <row r="128" spans="1:7" x14ac:dyDescent="0.35">
      <c r="A128" s="12" t="s">
        <v>79</v>
      </c>
      <c r="B128" s="12" t="s">
        <v>57</v>
      </c>
      <c r="C128" s="13" t="s">
        <v>58</v>
      </c>
      <c r="D128" s="12">
        <v>77.7</v>
      </c>
      <c r="E128" s="12">
        <v>624.23</v>
      </c>
      <c r="F128" s="12">
        <v>3.4</v>
      </c>
      <c r="G128" s="11">
        <f t="shared" si="9"/>
        <v>705.33</v>
      </c>
    </row>
    <row r="129" spans="1:7" x14ac:dyDescent="0.35">
      <c r="A129" s="12" t="s">
        <v>79</v>
      </c>
      <c r="B129" s="13" t="s">
        <v>50</v>
      </c>
      <c r="C129" s="13" t="s">
        <v>51</v>
      </c>
      <c r="D129" s="12">
        <v>291</v>
      </c>
      <c r="E129" s="12">
        <v>842</v>
      </c>
      <c r="F129" s="12">
        <v>18</v>
      </c>
      <c r="G129" s="11">
        <f t="shared" si="9"/>
        <v>1151</v>
      </c>
    </row>
    <row r="130" spans="1:7" x14ac:dyDescent="0.35">
      <c r="A130" s="12" t="s">
        <v>79</v>
      </c>
      <c r="B130" s="13" t="s">
        <v>52</v>
      </c>
      <c r="C130" s="13" t="s">
        <v>53</v>
      </c>
      <c r="D130" s="12"/>
      <c r="E130" s="12">
        <v>749.58</v>
      </c>
      <c r="F130" s="13"/>
      <c r="G130" s="11">
        <f t="shared" si="9"/>
        <v>749.58</v>
      </c>
    </row>
    <row r="131" spans="1:7" x14ac:dyDescent="0.35">
      <c r="A131" s="12" t="s">
        <v>79</v>
      </c>
      <c r="B131" s="13" t="s">
        <v>52</v>
      </c>
      <c r="C131" s="13" t="s">
        <v>54</v>
      </c>
      <c r="D131" s="12">
        <v>1278.95</v>
      </c>
      <c r="E131" s="12">
        <v>224.94</v>
      </c>
      <c r="F131" s="12">
        <v>89.89</v>
      </c>
      <c r="G131" s="11">
        <f t="shared" si="9"/>
        <v>1593.7800000000002</v>
      </c>
    </row>
    <row r="132" spans="1:7" x14ac:dyDescent="0.35">
      <c r="A132" s="12" t="s">
        <v>79</v>
      </c>
      <c r="B132" s="13" t="s">
        <v>62</v>
      </c>
      <c r="C132" s="12" t="s">
        <v>63</v>
      </c>
      <c r="D132" s="12">
        <v>242.96</v>
      </c>
      <c r="E132" s="12">
        <v>232.23</v>
      </c>
      <c r="F132" s="12">
        <v>0.09</v>
      </c>
      <c r="G132" s="11">
        <f t="shared" si="9"/>
        <v>475.28</v>
      </c>
    </row>
    <row r="133" spans="1:7" x14ac:dyDescent="0.35">
      <c r="A133" s="12" t="s">
        <v>79</v>
      </c>
      <c r="B133" s="13" t="s">
        <v>55</v>
      </c>
      <c r="C133" s="13" t="s">
        <v>56</v>
      </c>
      <c r="D133" s="12">
        <v>7355.91</v>
      </c>
      <c r="E133" s="12">
        <v>30862.55</v>
      </c>
      <c r="F133" s="13"/>
      <c r="G133" s="11">
        <f t="shared" si="9"/>
        <v>38218.46</v>
      </c>
    </row>
    <row r="134" spans="1:7" x14ac:dyDescent="0.35">
      <c r="A134" s="12" t="s">
        <v>80</v>
      </c>
      <c r="B134" s="13" t="s">
        <v>6</v>
      </c>
      <c r="C134" s="13" t="s">
        <v>7</v>
      </c>
      <c r="D134" s="12">
        <v>715.96</v>
      </c>
      <c r="E134" s="12">
        <v>2502.75</v>
      </c>
      <c r="F134" s="12">
        <v>476.8</v>
      </c>
      <c r="G134" s="12">
        <f>SUM(D134:F134)</f>
        <v>3695.51</v>
      </c>
    </row>
    <row r="135" spans="1:7" x14ac:dyDescent="0.35">
      <c r="A135" s="12" t="s">
        <v>80</v>
      </c>
      <c r="B135" s="13" t="s">
        <v>8</v>
      </c>
      <c r="C135" s="13" t="s">
        <v>9</v>
      </c>
      <c r="D135" s="12">
        <v>1351.89</v>
      </c>
      <c r="E135" s="12">
        <v>1089.48</v>
      </c>
      <c r="F135" s="12">
        <v>292.06</v>
      </c>
      <c r="G135" s="12">
        <f t="shared" ref="G135:G137" si="10">SUM(D135:F135)</f>
        <v>2733.43</v>
      </c>
    </row>
    <row r="136" spans="1:7" x14ac:dyDescent="0.35">
      <c r="A136" s="12" t="s">
        <v>80</v>
      </c>
      <c r="B136" s="13" t="s">
        <v>8</v>
      </c>
      <c r="C136" s="12" t="s">
        <v>59</v>
      </c>
      <c r="D136" s="12"/>
      <c r="E136" s="12">
        <v>1125</v>
      </c>
      <c r="F136" s="13"/>
      <c r="G136" s="12">
        <f t="shared" si="10"/>
        <v>1125</v>
      </c>
    </row>
    <row r="137" spans="1:7" x14ac:dyDescent="0.35">
      <c r="A137" s="12" t="s">
        <v>80</v>
      </c>
      <c r="B137" s="13" t="s">
        <v>10</v>
      </c>
      <c r="C137" s="13" t="s">
        <v>11</v>
      </c>
      <c r="D137" s="12">
        <v>105.96</v>
      </c>
      <c r="E137" s="12">
        <v>312.70999999999998</v>
      </c>
      <c r="F137" s="12">
        <v>1.56</v>
      </c>
      <c r="G137" s="12">
        <f t="shared" si="10"/>
        <v>420.22999999999996</v>
      </c>
    </row>
    <row r="138" spans="1:7" x14ac:dyDescent="0.35">
      <c r="A138" s="12" t="s">
        <v>80</v>
      </c>
      <c r="B138" s="13" t="s">
        <v>64</v>
      </c>
      <c r="C138" s="12" t="s">
        <v>65</v>
      </c>
      <c r="D138" s="12"/>
      <c r="E138" s="12"/>
      <c r="F138" s="12"/>
      <c r="G138" s="12"/>
    </row>
    <row r="139" spans="1:7" x14ac:dyDescent="0.35">
      <c r="A139" s="12" t="s">
        <v>80</v>
      </c>
      <c r="B139" s="13" t="s">
        <v>12</v>
      </c>
      <c r="C139" s="13" t="s">
        <v>13</v>
      </c>
      <c r="D139" s="12">
        <v>517.07000000000005</v>
      </c>
      <c r="E139" s="12">
        <v>957.01</v>
      </c>
      <c r="F139" s="12">
        <v>24.64</v>
      </c>
      <c r="G139" s="12">
        <f t="shared" ref="G139:G144" si="11">SUM(D139:F139)</f>
        <v>1498.72</v>
      </c>
    </row>
    <row r="140" spans="1:7" x14ac:dyDescent="0.35">
      <c r="A140" s="12" t="s">
        <v>80</v>
      </c>
      <c r="B140" s="13" t="s">
        <v>14</v>
      </c>
      <c r="C140" s="13" t="s">
        <v>15</v>
      </c>
      <c r="D140" s="12">
        <v>5769</v>
      </c>
      <c r="E140" s="12">
        <v>6143</v>
      </c>
      <c r="F140" s="12">
        <v>112</v>
      </c>
      <c r="G140" s="12">
        <f t="shared" si="11"/>
        <v>12024</v>
      </c>
    </row>
    <row r="141" spans="1:7" x14ac:dyDescent="0.35">
      <c r="A141" s="12" t="s">
        <v>80</v>
      </c>
      <c r="B141" s="13" t="s">
        <v>16</v>
      </c>
      <c r="C141" s="13" t="s">
        <v>17</v>
      </c>
      <c r="D141" s="12">
        <v>982.49</v>
      </c>
      <c r="E141" s="12">
        <v>1687.01</v>
      </c>
      <c r="F141" s="12">
        <v>102.88</v>
      </c>
      <c r="G141" s="12">
        <f t="shared" si="11"/>
        <v>2772.38</v>
      </c>
    </row>
    <row r="142" spans="1:7" x14ac:dyDescent="0.35">
      <c r="A142" s="12" t="s">
        <v>80</v>
      </c>
      <c r="B142" s="13" t="s">
        <v>18</v>
      </c>
      <c r="C142" s="13" t="s">
        <v>19</v>
      </c>
      <c r="D142" s="12">
        <v>130</v>
      </c>
      <c r="E142" s="12">
        <v>294</v>
      </c>
      <c r="F142" s="12"/>
      <c r="G142" s="12">
        <f t="shared" si="11"/>
        <v>424</v>
      </c>
    </row>
    <row r="143" spans="1:7" x14ac:dyDescent="0.35">
      <c r="A143" s="12" t="s">
        <v>80</v>
      </c>
      <c r="B143" s="13" t="s">
        <v>20</v>
      </c>
      <c r="C143" s="13" t="s">
        <v>21</v>
      </c>
      <c r="D143" s="12">
        <v>2028.18</v>
      </c>
      <c r="E143" s="12">
        <v>1025.28</v>
      </c>
      <c r="F143" s="12">
        <v>398.11</v>
      </c>
      <c r="G143" s="12">
        <f t="shared" si="11"/>
        <v>3451.57</v>
      </c>
    </row>
    <row r="144" spans="1:7" x14ac:dyDescent="0.35">
      <c r="A144" s="12" t="s">
        <v>80</v>
      </c>
      <c r="B144" s="13" t="s">
        <v>20</v>
      </c>
      <c r="C144" s="13" t="s">
        <v>22</v>
      </c>
      <c r="D144" s="12"/>
      <c r="E144" s="12">
        <v>1766</v>
      </c>
      <c r="F144" s="13"/>
      <c r="G144" s="12">
        <f t="shared" si="11"/>
        <v>1766</v>
      </c>
    </row>
    <row r="145" spans="1:7" x14ac:dyDescent="0.35">
      <c r="A145" s="12" t="s">
        <v>80</v>
      </c>
      <c r="B145" s="13" t="s">
        <v>66</v>
      </c>
      <c r="C145" s="12" t="s">
        <v>67</v>
      </c>
      <c r="D145" s="12"/>
      <c r="E145" s="12"/>
      <c r="F145" s="13"/>
      <c r="G145" s="12"/>
    </row>
    <row r="146" spans="1:7" x14ac:dyDescent="0.35">
      <c r="A146" s="12" t="s">
        <v>80</v>
      </c>
      <c r="B146" s="13" t="s">
        <v>23</v>
      </c>
      <c r="C146" s="13" t="s">
        <v>24</v>
      </c>
      <c r="D146" s="12">
        <v>6141</v>
      </c>
      <c r="E146" s="12">
        <v>10347</v>
      </c>
      <c r="F146" s="12">
        <v>1533</v>
      </c>
      <c r="G146" s="12">
        <f t="shared" ref="G146:G166" si="12">SUM(D146:F146)</f>
        <v>18021</v>
      </c>
    </row>
    <row r="147" spans="1:7" x14ac:dyDescent="0.35">
      <c r="A147" s="12" t="s">
        <v>80</v>
      </c>
      <c r="B147" s="13" t="s">
        <v>23</v>
      </c>
      <c r="C147" s="13" t="s">
        <v>25</v>
      </c>
      <c r="D147" s="12"/>
      <c r="E147" s="12">
        <v>5608</v>
      </c>
      <c r="F147" s="13"/>
      <c r="G147" s="12">
        <f t="shared" si="12"/>
        <v>5608</v>
      </c>
    </row>
    <row r="148" spans="1:7" x14ac:dyDescent="0.35">
      <c r="A148" s="12" t="s">
        <v>80</v>
      </c>
      <c r="B148" s="13" t="s">
        <v>26</v>
      </c>
      <c r="C148" s="13" t="s">
        <v>27</v>
      </c>
      <c r="D148" s="12">
        <v>106.79</v>
      </c>
      <c r="E148" s="12">
        <v>59.71</v>
      </c>
      <c r="F148" s="12">
        <v>54.66</v>
      </c>
      <c r="G148" s="12">
        <f t="shared" si="12"/>
        <v>221.16</v>
      </c>
    </row>
    <row r="149" spans="1:7" x14ac:dyDescent="0.35">
      <c r="A149" s="12" t="s">
        <v>80</v>
      </c>
      <c r="B149" s="13" t="s">
        <v>28</v>
      </c>
      <c r="C149" s="13" t="s">
        <v>29</v>
      </c>
      <c r="D149" s="12">
        <v>79.16</v>
      </c>
      <c r="E149" s="12">
        <v>332.28</v>
      </c>
      <c r="F149" s="12">
        <v>2.4500000000000002</v>
      </c>
      <c r="G149" s="12">
        <f t="shared" si="12"/>
        <v>413.88999999999993</v>
      </c>
    </row>
    <row r="150" spans="1:7" x14ac:dyDescent="0.35">
      <c r="A150" s="12" t="s">
        <v>80</v>
      </c>
      <c r="B150" s="13" t="s">
        <v>30</v>
      </c>
      <c r="C150" s="13" t="s">
        <v>31</v>
      </c>
      <c r="D150" s="12">
        <v>236.57</v>
      </c>
      <c r="E150" s="12">
        <v>492.13</v>
      </c>
      <c r="F150" s="12">
        <v>14.68</v>
      </c>
      <c r="G150" s="12">
        <f t="shared" si="12"/>
        <v>743.38</v>
      </c>
    </row>
    <row r="151" spans="1:7" x14ac:dyDescent="0.35">
      <c r="A151" s="12" t="s">
        <v>80</v>
      </c>
      <c r="B151" s="13" t="s">
        <v>32</v>
      </c>
      <c r="C151" s="13" t="s">
        <v>33</v>
      </c>
      <c r="D151" s="12">
        <v>3459</v>
      </c>
      <c r="E151" s="12">
        <v>4929</v>
      </c>
      <c r="F151" s="12">
        <v>1242</v>
      </c>
      <c r="G151" s="12">
        <f t="shared" si="12"/>
        <v>9630</v>
      </c>
    </row>
    <row r="152" spans="1:7" x14ac:dyDescent="0.35">
      <c r="A152" s="12" t="s">
        <v>80</v>
      </c>
      <c r="B152" s="13" t="s">
        <v>34</v>
      </c>
      <c r="C152" s="13" t="s">
        <v>35</v>
      </c>
      <c r="D152" s="12">
        <v>184</v>
      </c>
      <c r="E152" s="12">
        <v>425</v>
      </c>
      <c r="F152" s="13"/>
      <c r="G152" s="12">
        <f t="shared" si="12"/>
        <v>609</v>
      </c>
    </row>
    <row r="153" spans="1:7" x14ac:dyDescent="0.35">
      <c r="A153" s="12" t="s">
        <v>80</v>
      </c>
      <c r="B153" s="13" t="s">
        <v>36</v>
      </c>
      <c r="C153" s="13" t="s">
        <v>37</v>
      </c>
      <c r="D153" s="12">
        <v>70</v>
      </c>
      <c r="E153" s="12">
        <v>159</v>
      </c>
      <c r="F153" s="13"/>
      <c r="G153" s="12">
        <f t="shared" si="12"/>
        <v>229</v>
      </c>
    </row>
    <row r="154" spans="1:7" x14ac:dyDescent="0.35">
      <c r="A154" s="12" t="s">
        <v>80</v>
      </c>
      <c r="B154" s="13" t="s">
        <v>38</v>
      </c>
      <c r="C154" s="13" t="s">
        <v>39</v>
      </c>
      <c r="D154" s="13"/>
      <c r="E154" s="12"/>
      <c r="F154" s="13"/>
      <c r="G154" s="12">
        <f t="shared" si="12"/>
        <v>0</v>
      </c>
    </row>
    <row r="155" spans="1:7" x14ac:dyDescent="0.35">
      <c r="A155" s="12" t="s">
        <v>80</v>
      </c>
      <c r="B155" s="13" t="s">
        <v>40</v>
      </c>
      <c r="C155" s="13" t="s">
        <v>41</v>
      </c>
      <c r="D155" s="12"/>
      <c r="E155" s="12"/>
      <c r="F155" s="13"/>
      <c r="G155" s="12">
        <f t="shared" si="12"/>
        <v>0</v>
      </c>
    </row>
    <row r="156" spans="1:7" x14ac:dyDescent="0.35">
      <c r="A156" s="12" t="s">
        <v>80</v>
      </c>
      <c r="B156" s="13" t="s">
        <v>42</v>
      </c>
      <c r="C156" s="13" t="s">
        <v>43</v>
      </c>
      <c r="D156" s="12">
        <v>1079.94</v>
      </c>
      <c r="E156" s="12">
        <v>1562.68</v>
      </c>
      <c r="F156" s="12">
        <v>6.52</v>
      </c>
      <c r="G156" s="12">
        <f t="shared" si="12"/>
        <v>2649.14</v>
      </c>
    </row>
    <row r="157" spans="1:7" x14ac:dyDescent="0.35">
      <c r="A157" s="12" t="s">
        <v>80</v>
      </c>
      <c r="B157" s="13" t="s">
        <v>44</v>
      </c>
      <c r="C157" s="13" t="s">
        <v>45</v>
      </c>
      <c r="D157" s="12">
        <v>2365.61</v>
      </c>
      <c r="E157" s="12">
        <v>4276.38</v>
      </c>
      <c r="F157" s="12">
        <v>101.41</v>
      </c>
      <c r="G157" s="12">
        <f t="shared" si="12"/>
        <v>6743.4</v>
      </c>
    </row>
    <row r="158" spans="1:7" x14ac:dyDescent="0.35">
      <c r="A158" s="12" t="s">
        <v>80</v>
      </c>
      <c r="B158" s="13" t="s">
        <v>46</v>
      </c>
      <c r="C158" s="13" t="s">
        <v>47</v>
      </c>
      <c r="D158" s="12">
        <v>265</v>
      </c>
      <c r="E158" s="12">
        <v>750</v>
      </c>
      <c r="F158" s="12">
        <v>378</v>
      </c>
      <c r="G158" s="12">
        <f t="shared" si="12"/>
        <v>1393</v>
      </c>
    </row>
    <row r="159" spans="1:7" x14ac:dyDescent="0.35">
      <c r="A159" s="12" t="s">
        <v>80</v>
      </c>
      <c r="B159" s="13" t="s">
        <v>60</v>
      </c>
      <c r="C159" s="12" t="s">
        <v>61</v>
      </c>
      <c r="D159" s="12">
        <v>4160.8500000000004</v>
      </c>
      <c r="E159" s="12">
        <v>3224.92</v>
      </c>
      <c r="F159" s="12">
        <v>44.32</v>
      </c>
      <c r="G159" s="12">
        <f t="shared" si="12"/>
        <v>7430.09</v>
      </c>
    </row>
    <row r="160" spans="1:7" x14ac:dyDescent="0.35">
      <c r="A160" s="12" t="s">
        <v>80</v>
      </c>
      <c r="B160" s="13" t="s">
        <v>48</v>
      </c>
      <c r="C160" s="13" t="s">
        <v>49</v>
      </c>
      <c r="D160" s="12">
        <v>1856.6</v>
      </c>
      <c r="E160" s="12">
        <v>4464.53</v>
      </c>
      <c r="F160" s="12">
        <v>1.03</v>
      </c>
      <c r="G160" s="12">
        <f t="shared" si="12"/>
        <v>6322.1599999999989</v>
      </c>
    </row>
    <row r="161" spans="1:7" x14ac:dyDescent="0.35">
      <c r="A161" s="12" t="s">
        <v>80</v>
      </c>
      <c r="B161" s="12" t="s">
        <v>57</v>
      </c>
      <c r="C161" s="13" t="s">
        <v>58</v>
      </c>
      <c r="D161" s="12">
        <v>47.29</v>
      </c>
      <c r="E161" s="12">
        <v>466.32</v>
      </c>
      <c r="F161" s="12">
        <v>2.79</v>
      </c>
      <c r="G161" s="12">
        <f t="shared" si="12"/>
        <v>516.4</v>
      </c>
    </row>
    <row r="162" spans="1:7" x14ac:dyDescent="0.35">
      <c r="A162" s="12" t="s">
        <v>80</v>
      </c>
      <c r="B162" s="13" t="s">
        <v>50</v>
      </c>
      <c r="C162" s="13" t="s">
        <v>51</v>
      </c>
      <c r="D162" s="12">
        <v>291</v>
      </c>
      <c r="E162" s="12">
        <v>665</v>
      </c>
      <c r="F162" s="12">
        <v>25</v>
      </c>
      <c r="G162" s="12">
        <f t="shared" si="12"/>
        <v>981</v>
      </c>
    </row>
    <row r="163" spans="1:7" x14ac:dyDescent="0.35">
      <c r="A163" s="12" t="s">
        <v>80</v>
      </c>
      <c r="B163" s="13" t="s">
        <v>52</v>
      </c>
      <c r="C163" s="13" t="s">
        <v>53</v>
      </c>
      <c r="D163" s="12"/>
      <c r="E163" s="12">
        <v>296.82</v>
      </c>
      <c r="F163" s="12"/>
      <c r="G163" s="12">
        <f t="shared" si="12"/>
        <v>296.82</v>
      </c>
    </row>
    <row r="164" spans="1:7" x14ac:dyDescent="0.35">
      <c r="A164" s="12" t="s">
        <v>80</v>
      </c>
      <c r="B164" s="13" t="s">
        <v>52</v>
      </c>
      <c r="C164" s="13" t="s">
        <v>54</v>
      </c>
      <c r="D164" s="12">
        <v>868.25</v>
      </c>
      <c r="E164" s="12">
        <v>170.07</v>
      </c>
      <c r="F164" s="12">
        <v>277.26</v>
      </c>
      <c r="G164" s="12">
        <f t="shared" si="12"/>
        <v>1315.58</v>
      </c>
    </row>
    <row r="165" spans="1:7" x14ac:dyDescent="0.35">
      <c r="A165" s="12" t="s">
        <v>80</v>
      </c>
      <c r="B165" s="13" t="s">
        <v>62</v>
      </c>
      <c r="C165" s="12" t="s">
        <v>63</v>
      </c>
      <c r="D165" s="12">
        <v>6.08</v>
      </c>
      <c r="E165" s="12">
        <v>287.55</v>
      </c>
      <c r="F165" s="13"/>
      <c r="G165" s="12">
        <f t="shared" si="12"/>
        <v>293.63</v>
      </c>
    </row>
    <row r="166" spans="1:7" x14ac:dyDescent="0.35">
      <c r="A166" s="12" t="s">
        <v>80</v>
      </c>
      <c r="B166" s="13" t="s">
        <v>55</v>
      </c>
      <c r="C166" s="13" t="s">
        <v>56</v>
      </c>
      <c r="D166" s="12">
        <v>6909.01</v>
      </c>
      <c r="E166" s="12">
        <v>21707.82</v>
      </c>
      <c r="F166" s="13"/>
      <c r="G166" s="12">
        <f t="shared" si="12"/>
        <v>28616.83</v>
      </c>
    </row>
    <row r="167" spans="1:7" x14ac:dyDescent="0.35">
      <c r="A167" s="12" t="s">
        <v>81</v>
      </c>
      <c r="B167" s="13" t="s">
        <v>6</v>
      </c>
      <c r="C167" s="13" t="s">
        <v>7</v>
      </c>
      <c r="D167" s="12">
        <v>836.08</v>
      </c>
      <c r="E167" s="12">
        <v>3405.21</v>
      </c>
      <c r="F167" s="12">
        <v>183.18</v>
      </c>
      <c r="G167" s="12">
        <f>SUM(D167:F167)</f>
        <v>4424.47</v>
      </c>
    </row>
    <row r="168" spans="1:7" x14ac:dyDescent="0.35">
      <c r="A168" s="12" t="s">
        <v>81</v>
      </c>
      <c r="B168" s="13" t="s">
        <v>8</v>
      </c>
      <c r="C168" s="13" t="s">
        <v>9</v>
      </c>
      <c r="D168" s="12">
        <v>1490.07</v>
      </c>
      <c r="E168" s="12">
        <v>1335.85</v>
      </c>
      <c r="F168" s="12">
        <v>296.86</v>
      </c>
      <c r="G168" s="12">
        <f t="shared" ref="G168:G169" si="13">SUM(D168:F168)</f>
        <v>3122.78</v>
      </c>
    </row>
    <row r="169" spans="1:7" x14ac:dyDescent="0.35">
      <c r="A169" s="12" t="s">
        <v>81</v>
      </c>
      <c r="B169" s="13" t="s">
        <v>8</v>
      </c>
      <c r="C169" s="12" t="s">
        <v>59</v>
      </c>
      <c r="D169" s="12"/>
      <c r="E169" s="12">
        <v>1595</v>
      </c>
      <c r="F169" s="12"/>
      <c r="G169" s="12">
        <f t="shared" si="13"/>
        <v>1595</v>
      </c>
    </row>
    <row r="170" spans="1:7" x14ac:dyDescent="0.35">
      <c r="A170" s="12" t="s">
        <v>81</v>
      </c>
      <c r="B170" s="13" t="s">
        <v>10</v>
      </c>
      <c r="C170" s="13" t="s">
        <v>11</v>
      </c>
      <c r="D170" s="12">
        <v>120.8</v>
      </c>
      <c r="E170" s="12">
        <v>452.27</v>
      </c>
      <c r="F170" s="12">
        <v>2.7</v>
      </c>
      <c r="G170" s="12">
        <f>SUM(D170:F170)</f>
        <v>575.77</v>
      </c>
    </row>
    <row r="171" spans="1:7" x14ac:dyDescent="0.35">
      <c r="A171" s="12" t="s">
        <v>81</v>
      </c>
      <c r="B171" s="13" t="s">
        <v>64</v>
      </c>
      <c r="C171" s="12" t="s">
        <v>65</v>
      </c>
      <c r="D171" s="12">
        <v>701.23</v>
      </c>
      <c r="E171" s="12">
        <v>4389.75</v>
      </c>
      <c r="F171" s="12"/>
      <c r="G171" s="12">
        <f>SUM(D171:F171)</f>
        <v>5090.9799999999996</v>
      </c>
    </row>
    <row r="172" spans="1:7" x14ac:dyDescent="0.35">
      <c r="A172" s="12" t="s">
        <v>81</v>
      </c>
      <c r="B172" s="13" t="s">
        <v>12</v>
      </c>
      <c r="C172" s="13" t="s">
        <v>13</v>
      </c>
      <c r="D172" s="12">
        <v>601.4</v>
      </c>
      <c r="E172" s="12">
        <v>1230.02</v>
      </c>
      <c r="F172" s="12">
        <v>52.12</v>
      </c>
      <c r="G172" s="12">
        <f t="shared" ref="G172:G177" si="14">SUM(D172:F172)</f>
        <v>1883.54</v>
      </c>
    </row>
    <row r="173" spans="1:7" x14ac:dyDescent="0.35">
      <c r="A173" s="12" t="s">
        <v>81</v>
      </c>
      <c r="B173" s="13" t="s">
        <v>14</v>
      </c>
      <c r="C173" s="13" t="s">
        <v>15</v>
      </c>
      <c r="D173" s="12">
        <v>10500</v>
      </c>
      <c r="E173" s="12">
        <v>15728</v>
      </c>
      <c r="F173" s="12">
        <v>590</v>
      </c>
      <c r="G173" s="12">
        <f t="shared" si="14"/>
        <v>26818</v>
      </c>
    </row>
    <row r="174" spans="1:7" x14ac:dyDescent="0.35">
      <c r="A174" s="12" t="s">
        <v>81</v>
      </c>
      <c r="B174" s="13" t="s">
        <v>16</v>
      </c>
      <c r="C174" s="13" t="s">
        <v>17</v>
      </c>
      <c r="D174" s="12">
        <v>1296.83</v>
      </c>
      <c r="E174" s="12">
        <v>3257.96</v>
      </c>
      <c r="F174" s="12">
        <v>104.62</v>
      </c>
      <c r="G174" s="12">
        <f t="shared" si="14"/>
        <v>4659.41</v>
      </c>
    </row>
    <row r="175" spans="1:7" x14ac:dyDescent="0.35">
      <c r="A175" s="12" t="s">
        <v>81</v>
      </c>
      <c r="B175" s="13" t="s">
        <v>18</v>
      </c>
      <c r="C175" s="13" t="s">
        <v>19</v>
      </c>
      <c r="D175" s="12">
        <v>170</v>
      </c>
      <c r="E175" s="12">
        <v>456</v>
      </c>
      <c r="F175" s="12"/>
      <c r="G175" s="12">
        <f t="shared" si="14"/>
        <v>626</v>
      </c>
    </row>
    <row r="176" spans="1:7" x14ac:dyDescent="0.35">
      <c r="A176" s="12" t="s">
        <v>81</v>
      </c>
      <c r="B176" s="13" t="s">
        <v>20</v>
      </c>
      <c r="C176" s="13" t="s">
        <v>21</v>
      </c>
      <c r="D176" s="12">
        <v>3335.34</v>
      </c>
      <c r="E176" s="12">
        <v>1778.95</v>
      </c>
      <c r="F176" s="12">
        <v>505.36</v>
      </c>
      <c r="G176" s="12">
        <f t="shared" si="14"/>
        <v>5619.65</v>
      </c>
    </row>
    <row r="177" spans="1:7" x14ac:dyDescent="0.35">
      <c r="A177" s="12" t="s">
        <v>81</v>
      </c>
      <c r="B177" s="13" t="s">
        <v>20</v>
      </c>
      <c r="C177" s="13" t="s">
        <v>22</v>
      </c>
      <c r="D177" s="12"/>
      <c r="E177" s="12">
        <v>3523</v>
      </c>
      <c r="F177" s="12"/>
      <c r="G177" s="12">
        <f t="shared" si="14"/>
        <v>3523</v>
      </c>
    </row>
    <row r="178" spans="1:7" x14ac:dyDescent="0.35">
      <c r="A178" s="12" t="s">
        <v>81</v>
      </c>
      <c r="B178" s="13" t="s">
        <v>66</v>
      </c>
      <c r="C178" s="12" t="s">
        <v>67</v>
      </c>
      <c r="D178" s="12"/>
      <c r="E178" s="12"/>
      <c r="F178" s="12"/>
      <c r="G178" s="12"/>
    </row>
    <row r="179" spans="1:7" x14ac:dyDescent="0.35">
      <c r="A179" s="12" t="s">
        <v>81</v>
      </c>
      <c r="B179" s="13" t="s">
        <v>23</v>
      </c>
      <c r="C179" s="13" t="s">
        <v>24</v>
      </c>
      <c r="D179" s="12">
        <v>6924.31</v>
      </c>
      <c r="E179" s="12">
        <v>13226.05</v>
      </c>
      <c r="F179" s="12">
        <v>1937.94</v>
      </c>
      <c r="G179" s="12">
        <f t="shared" ref="G179:G185" si="15">SUM(D179:F179)</f>
        <v>22088.3</v>
      </c>
    </row>
    <row r="180" spans="1:7" x14ac:dyDescent="0.35">
      <c r="A180" s="12" t="s">
        <v>81</v>
      </c>
      <c r="B180" s="13" t="s">
        <v>23</v>
      </c>
      <c r="C180" s="13" t="s">
        <v>25</v>
      </c>
      <c r="D180" s="12"/>
      <c r="E180" s="12">
        <v>7388</v>
      </c>
      <c r="F180" s="12"/>
      <c r="G180" s="12">
        <f t="shared" si="15"/>
        <v>7388</v>
      </c>
    </row>
    <row r="181" spans="1:7" x14ac:dyDescent="0.35">
      <c r="A181" s="12" t="s">
        <v>81</v>
      </c>
      <c r="B181" s="13" t="s">
        <v>26</v>
      </c>
      <c r="C181" s="13" t="s">
        <v>27</v>
      </c>
      <c r="D181" s="12">
        <v>124.92</v>
      </c>
      <c r="E181" s="12">
        <v>58.78</v>
      </c>
      <c r="F181" s="12">
        <v>13.83</v>
      </c>
      <c r="G181" s="12">
        <f t="shared" si="15"/>
        <v>197.53</v>
      </c>
    </row>
    <row r="182" spans="1:7" x14ac:dyDescent="0.35">
      <c r="A182" s="12" t="s">
        <v>81</v>
      </c>
      <c r="B182" s="13" t="s">
        <v>28</v>
      </c>
      <c r="C182" s="13" t="s">
        <v>29</v>
      </c>
      <c r="D182" s="12"/>
      <c r="E182" s="12"/>
      <c r="F182" s="12"/>
      <c r="G182" s="12">
        <f t="shared" si="15"/>
        <v>0</v>
      </c>
    </row>
    <row r="183" spans="1:7" x14ac:dyDescent="0.35">
      <c r="A183" s="12" t="s">
        <v>81</v>
      </c>
      <c r="B183" s="13" t="s">
        <v>30</v>
      </c>
      <c r="C183" s="13" t="s">
        <v>31</v>
      </c>
      <c r="D183" s="12">
        <v>302.88</v>
      </c>
      <c r="E183" s="12">
        <v>855.63</v>
      </c>
      <c r="F183" s="12">
        <v>11.78</v>
      </c>
      <c r="G183" s="12">
        <f t="shared" si="15"/>
        <v>1170.29</v>
      </c>
    </row>
    <row r="184" spans="1:7" x14ac:dyDescent="0.35">
      <c r="A184" s="12" t="s">
        <v>81</v>
      </c>
      <c r="B184" s="13" t="s">
        <v>32</v>
      </c>
      <c r="C184" s="13" t="s">
        <v>33</v>
      </c>
      <c r="D184" s="12">
        <v>4655.26</v>
      </c>
      <c r="E184" s="12">
        <v>7766.91</v>
      </c>
      <c r="F184" s="12">
        <v>1871.12</v>
      </c>
      <c r="G184" s="12">
        <f t="shared" si="15"/>
        <v>14293.29</v>
      </c>
    </row>
    <row r="185" spans="1:7" x14ac:dyDescent="0.35">
      <c r="A185" s="12" t="s">
        <v>81</v>
      </c>
      <c r="B185" s="13" t="s">
        <v>34</v>
      </c>
      <c r="C185" s="13" t="s">
        <v>35</v>
      </c>
      <c r="D185" s="12">
        <v>135</v>
      </c>
      <c r="E185" s="12">
        <v>836</v>
      </c>
      <c r="F185" s="12">
        <v>4</v>
      </c>
      <c r="G185" s="12">
        <f t="shared" si="15"/>
        <v>975</v>
      </c>
    </row>
    <row r="186" spans="1:7" x14ac:dyDescent="0.35">
      <c r="A186" s="12" t="s">
        <v>81</v>
      </c>
      <c r="B186" s="13" t="s">
        <v>36</v>
      </c>
      <c r="C186" s="13" t="s">
        <v>37</v>
      </c>
      <c r="D186" s="12">
        <v>126</v>
      </c>
      <c r="E186" s="12">
        <v>286</v>
      </c>
      <c r="F186" s="12"/>
      <c r="G186" s="12">
        <f>SUM(D186:F186)</f>
        <v>412</v>
      </c>
    </row>
    <row r="187" spans="1:7" x14ac:dyDescent="0.35">
      <c r="A187" s="12" t="s">
        <v>81</v>
      </c>
      <c r="B187" s="13" t="s">
        <v>38</v>
      </c>
      <c r="C187" s="13" t="s">
        <v>39</v>
      </c>
      <c r="D187" s="12"/>
      <c r="E187" s="12"/>
      <c r="F187" s="12"/>
      <c r="G187" s="12">
        <f t="shared" ref="G187:G199" si="16">SUM(D187:F187)</f>
        <v>0</v>
      </c>
    </row>
    <row r="188" spans="1:7" x14ac:dyDescent="0.35">
      <c r="A188" s="12" t="s">
        <v>81</v>
      </c>
      <c r="B188" s="13" t="s">
        <v>40</v>
      </c>
      <c r="C188" s="13" t="s">
        <v>41</v>
      </c>
      <c r="D188" s="12"/>
      <c r="E188" s="12"/>
      <c r="F188" s="12"/>
      <c r="G188" s="12">
        <f t="shared" si="16"/>
        <v>0</v>
      </c>
    </row>
    <row r="189" spans="1:7" x14ac:dyDescent="0.35">
      <c r="A189" s="12" t="s">
        <v>81</v>
      </c>
      <c r="B189" s="13" t="s">
        <v>42</v>
      </c>
      <c r="C189" s="13" t="s">
        <v>43</v>
      </c>
      <c r="D189" s="12">
        <v>1250.94</v>
      </c>
      <c r="E189" s="12">
        <v>2060.69</v>
      </c>
      <c r="F189" s="12">
        <v>3.8</v>
      </c>
      <c r="G189" s="12">
        <f t="shared" si="16"/>
        <v>3315.4300000000003</v>
      </c>
    </row>
    <row r="190" spans="1:7" x14ac:dyDescent="0.35">
      <c r="A190" s="12" t="s">
        <v>81</v>
      </c>
      <c r="B190" s="13" t="s">
        <v>44</v>
      </c>
      <c r="C190" s="13" t="s">
        <v>45</v>
      </c>
      <c r="D190" s="12">
        <v>2681.72</v>
      </c>
      <c r="E190" s="12">
        <v>6246.06</v>
      </c>
      <c r="F190" s="12">
        <v>86.41</v>
      </c>
      <c r="G190" s="12">
        <f t="shared" si="16"/>
        <v>9014.19</v>
      </c>
    </row>
    <row r="191" spans="1:7" x14ac:dyDescent="0.35">
      <c r="A191" s="12" t="s">
        <v>81</v>
      </c>
      <c r="B191" s="13" t="s">
        <v>46</v>
      </c>
      <c r="C191" s="13" t="s">
        <v>47</v>
      </c>
      <c r="D191" s="12">
        <v>367</v>
      </c>
      <c r="E191" s="12">
        <v>1019</v>
      </c>
      <c r="F191" s="12">
        <v>430</v>
      </c>
      <c r="G191" s="12">
        <f t="shared" si="16"/>
        <v>1816</v>
      </c>
    </row>
    <row r="192" spans="1:7" x14ac:dyDescent="0.35">
      <c r="A192" s="12" t="s">
        <v>81</v>
      </c>
      <c r="B192" s="13" t="s">
        <v>60</v>
      </c>
      <c r="C192" s="12" t="s">
        <v>61</v>
      </c>
      <c r="D192" s="12">
        <v>5484.78</v>
      </c>
      <c r="E192" s="12">
        <v>3356.21</v>
      </c>
      <c r="F192" s="12">
        <v>1059.33</v>
      </c>
      <c r="G192" s="12">
        <f t="shared" si="16"/>
        <v>9900.32</v>
      </c>
    </row>
    <row r="193" spans="1:7" x14ac:dyDescent="0.35">
      <c r="A193" s="12" t="s">
        <v>81</v>
      </c>
      <c r="B193" s="13" t="s">
        <v>48</v>
      </c>
      <c r="C193" s="13" t="s">
        <v>49</v>
      </c>
      <c r="D193" s="12">
        <v>1972.15</v>
      </c>
      <c r="E193" s="12">
        <v>4932.12</v>
      </c>
      <c r="F193" s="12">
        <v>2.5</v>
      </c>
      <c r="G193" s="12">
        <f t="shared" si="16"/>
        <v>6906.77</v>
      </c>
    </row>
    <row r="194" spans="1:7" x14ac:dyDescent="0.35">
      <c r="A194" s="12" t="s">
        <v>81</v>
      </c>
      <c r="B194" s="12" t="s">
        <v>57</v>
      </c>
      <c r="C194" s="13" t="s">
        <v>58</v>
      </c>
      <c r="D194" s="12">
        <v>63.59</v>
      </c>
      <c r="E194" s="12">
        <v>608.59</v>
      </c>
      <c r="F194" s="12">
        <v>6.04</v>
      </c>
      <c r="G194" s="12">
        <f t="shared" si="16"/>
        <v>678.22</v>
      </c>
    </row>
    <row r="195" spans="1:7" x14ac:dyDescent="0.35">
      <c r="A195" s="12" t="s">
        <v>81</v>
      </c>
      <c r="B195" s="13" t="s">
        <v>50</v>
      </c>
      <c r="C195" s="13" t="s">
        <v>51</v>
      </c>
      <c r="D195" s="12">
        <v>325.77999999999997</v>
      </c>
      <c r="E195" s="12">
        <v>913.65</v>
      </c>
      <c r="F195" s="12">
        <v>23.49</v>
      </c>
      <c r="G195" s="12">
        <f t="shared" si="16"/>
        <v>1262.9199999999998</v>
      </c>
    </row>
    <row r="196" spans="1:7" x14ac:dyDescent="0.35">
      <c r="A196" s="12" t="s">
        <v>81</v>
      </c>
      <c r="B196" s="13" t="s">
        <v>52</v>
      </c>
      <c r="C196" s="13" t="s">
        <v>53</v>
      </c>
      <c r="D196" s="12"/>
      <c r="E196" s="12">
        <v>259.67</v>
      </c>
      <c r="F196" s="12"/>
      <c r="G196" s="12">
        <f t="shared" si="16"/>
        <v>259.67</v>
      </c>
    </row>
    <row r="197" spans="1:7" x14ac:dyDescent="0.35">
      <c r="A197" s="12" t="s">
        <v>81</v>
      </c>
      <c r="B197" s="13" t="s">
        <v>52</v>
      </c>
      <c r="C197" s="13" t="s">
        <v>54</v>
      </c>
      <c r="D197" s="12">
        <v>601.98</v>
      </c>
      <c r="E197" s="12">
        <v>142.05000000000001</v>
      </c>
      <c r="F197" s="12">
        <v>232.42</v>
      </c>
      <c r="G197" s="12">
        <f t="shared" si="16"/>
        <v>976.44999999999993</v>
      </c>
    </row>
    <row r="198" spans="1:7" x14ac:dyDescent="0.35">
      <c r="A198" s="12" t="s">
        <v>81</v>
      </c>
      <c r="B198" s="13" t="s">
        <v>62</v>
      </c>
      <c r="C198" s="12" t="s">
        <v>63</v>
      </c>
      <c r="D198" s="12">
        <v>173.94</v>
      </c>
      <c r="E198" s="12">
        <v>103.09</v>
      </c>
      <c r="F198" s="12"/>
      <c r="G198" s="12">
        <f t="shared" si="16"/>
        <v>277.02999999999997</v>
      </c>
    </row>
    <row r="199" spans="1:7" x14ac:dyDescent="0.35">
      <c r="A199" s="12" t="s">
        <v>81</v>
      </c>
      <c r="B199" s="13" t="s">
        <v>55</v>
      </c>
      <c r="C199" s="13" t="s">
        <v>56</v>
      </c>
      <c r="D199" s="12">
        <v>7220.73</v>
      </c>
      <c r="E199" s="12">
        <v>33401.050000000003</v>
      </c>
      <c r="F199" s="12"/>
      <c r="G199" s="12">
        <f t="shared" si="16"/>
        <v>40621.78</v>
      </c>
    </row>
    <row r="200" spans="1:7" x14ac:dyDescent="0.35">
      <c r="A200" s="12" t="s">
        <v>82</v>
      </c>
      <c r="B200" s="13" t="s">
        <v>6</v>
      </c>
      <c r="C200" s="13" t="s">
        <v>7</v>
      </c>
      <c r="D200" s="12">
        <v>765.1</v>
      </c>
      <c r="E200" s="14">
        <v>2876.7</v>
      </c>
      <c r="F200" s="12">
        <v>234.9</v>
      </c>
      <c r="G200" s="12">
        <f>SUM(D200:F200)</f>
        <v>3876.7</v>
      </c>
    </row>
    <row r="201" spans="1:7" x14ac:dyDescent="0.35">
      <c r="A201" s="12" t="s">
        <v>82</v>
      </c>
      <c r="B201" s="13" t="s">
        <v>8</v>
      </c>
      <c r="C201" s="13" t="s">
        <v>9</v>
      </c>
      <c r="D201" s="14">
        <v>1409.1</v>
      </c>
      <c r="E201" s="14">
        <v>1269.4000000000001</v>
      </c>
      <c r="F201" s="12">
        <v>333.7</v>
      </c>
      <c r="G201" s="12">
        <f t="shared" ref="G201:G210" si="17">SUM(D201:F201)</f>
        <v>3012.2</v>
      </c>
    </row>
    <row r="202" spans="1:7" x14ac:dyDescent="0.35">
      <c r="A202" s="12" t="s">
        <v>82</v>
      </c>
      <c r="B202" s="13" t="s">
        <v>8</v>
      </c>
      <c r="C202" s="12" t="s">
        <v>59</v>
      </c>
      <c r="D202" s="12"/>
      <c r="E202" s="14">
        <v>1500</v>
      </c>
      <c r="F202" s="12"/>
      <c r="G202" s="12">
        <f t="shared" si="17"/>
        <v>1500</v>
      </c>
    </row>
    <row r="203" spans="1:7" x14ac:dyDescent="0.35">
      <c r="A203" s="12" t="s">
        <v>82</v>
      </c>
      <c r="B203" s="13" t="s">
        <v>10</v>
      </c>
      <c r="C203" s="13" t="s">
        <v>11</v>
      </c>
      <c r="D203" s="12">
        <v>106</v>
      </c>
      <c r="E203" s="12">
        <v>403.9</v>
      </c>
      <c r="F203" s="12">
        <v>2.7</v>
      </c>
      <c r="G203" s="12">
        <f t="shared" si="17"/>
        <v>512.6</v>
      </c>
    </row>
    <row r="204" spans="1:7" x14ac:dyDescent="0.35">
      <c r="A204" s="12" t="s">
        <v>82</v>
      </c>
      <c r="B204" s="13" t="s">
        <v>64</v>
      </c>
      <c r="C204" s="12" t="s">
        <v>65</v>
      </c>
      <c r="D204" s="12">
        <v>614.9</v>
      </c>
      <c r="E204" s="14">
        <v>3915</v>
      </c>
      <c r="F204" s="12"/>
      <c r="G204" s="12">
        <f t="shared" si="17"/>
        <v>4529.8999999999996</v>
      </c>
    </row>
    <row r="205" spans="1:7" x14ac:dyDescent="0.35">
      <c r="A205" s="12" t="s">
        <v>82</v>
      </c>
      <c r="B205" s="13" t="s">
        <v>12</v>
      </c>
      <c r="C205" s="13" t="s">
        <v>13</v>
      </c>
      <c r="D205" s="12">
        <v>548.6</v>
      </c>
      <c r="E205" s="14">
        <v>1564.8</v>
      </c>
      <c r="F205" s="12">
        <v>65.5</v>
      </c>
      <c r="G205" s="12">
        <f t="shared" si="17"/>
        <v>2178.9</v>
      </c>
    </row>
    <row r="206" spans="1:7" x14ac:dyDescent="0.35">
      <c r="A206" s="12" t="s">
        <v>82</v>
      </c>
      <c r="B206" s="13" t="s">
        <v>14</v>
      </c>
      <c r="C206" s="13" t="s">
        <v>15</v>
      </c>
      <c r="D206" s="14">
        <v>9908</v>
      </c>
      <c r="E206" s="14">
        <v>13760</v>
      </c>
      <c r="F206" s="12">
        <v>304</v>
      </c>
      <c r="G206" s="12">
        <f t="shared" si="17"/>
        <v>23972</v>
      </c>
    </row>
    <row r="207" spans="1:7" x14ac:dyDescent="0.35">
      <c r="A207" s="12" t="s">
        <v>82</v>
      </c>
      <c r="B207" s="13" t="s">
        <v>16</v>
      </c>
      <c r="C207" s="13" t="s">
        <v>17</v>
      </c>
      <c r="D207" s="12">
        <v>894.8</v>
      </c>
      <c r="E207" s="14">
        <v>3522.9</v>
      </c>
      <c r="F207" s="12">
        <v>55.7</v>
      </c>
      <c r="G207" s="12">
        <f t="shared" si="17"/>
        <v>4473.3999999999996</v>
      </c>
    </row>
    <row r="208" spans="1:7" x14ac:dyDescent="0.35">
      <c r="A208" s="12" t="s">
        <v>82</v>
      </c>
      <c r="B208" s="13" t="s">
        <v>18</v>
      </c>
      <c r="C208" s="13" t="s">
        <v>19</v>
      </c>
      <c r="D208" s="12">
        <v>193</v>
      </c>
      <c r="E208" s="12">
        <v>470</v>
      </c>
      <c r="F208" s="12"/>
      <c r="G208" s="12">
        <f t="shared" si="17"/>
        <v>663</v>
      </c>
    </row>
    <row r="209" spans="1:7" x14ac:dyDescent="0.35">
      <c r="A209" s="12" t="s">
        <v>82</v>
      </c>
      <c r="B209" s="13" t="s">
        <v>20</v>
      </c>
      <c r="C209" s="13" t="s">
        <v>21</v>
      </c>
      <c r="D209" s="14">
        <v>2790.9</v>
      </c>
      <c r="E209" s="14">
        <v>1795.2</v>
      </c>
      <c r="F209" s="12">
        <v>405.1</v>
      </c>
      <c r="G209" s="12">
        <f t="shared" si="17"/>
        <v>4991.2000000000007</v>
      </c>
    </row>
    <row r="210" spans="1:7" x14ac:dyDescent="0.35">
      <c r="A210" s="12" t="s">
        <v>82</v>
      </c>
      <c r="B210" s="13" t="s">
        <v>20</v>
      </c>
      <c r="C210" s="13" t="s">
        <v>22</v>
      </c>
      <c r="D210" s="12"/>
      <c r="E210" s="14">
        <v>2851</v>
      </c>
      <c r="F210" s="12"/>
      <c r="G210" s="12">
        <f t="shared" si="17"/>
        <v>2851</v>
      </c>
    </row>
    <row r="211" spans="1:7" x14ac:dyDescent="0.35">
      <c r="A211" s="12" t="s">
        <v>82</v>
      </c>
      <c r="B211" s="13" t="s">
        <v>66</v>
      </c>
      <c r="C211" s="12" t="s">
        <v>67</v>
      </c>
      <c r="D211" s="12"/>
      <c r="E211" s="14"/>
      <c r="F211" s="12"/>
      <c r="G211" s="12"/>
    </row>
    <row r="212" spans="1:7" x14ac:dyDescent="0.35">
      <c r="A212" s="12" t="s">
        <v>82</v>
      </c>
      <c r="B212" s="13" t="s">
        <v>23</v>
      </c>
      <c r="C212" s="13" t="s">
        <v>24</v>
      </c>
      <c r="D212" s="14">
        <v>6351.7</v>
      </c>
      <c r="E212" s="14">
        <v>12481.8</v>
      </c>
      <c r="F212" s="12">
        <v>1647.5</v>
      </c>
      <c r="G212" s="12">
        <f t="shared" ref="G212:G243" si="18">SUM(D212:F212)</f>
        <v>20481</v>
      </c>
    </row>
    <row r="213" spans="1:7" x14ac:dyDescent="0.35">
      <c r="A213" s="12" t="s">
        <v>82</v>
      </c>
      <c r="B213" s="13" t="s">
        <v>23</v>
      </c>
      <c r="C213" s="13" t="s">
        <v>25</v>
      </c>
      <c r="D213" s="12"/>
      <c r="E213" s="14">
        <v>6578</v>
      </c>
      <c r="F213" s="12"/>
      <c r="G213" s="12">
        <f t="shared" si="18"/>
        <v>6578</v>
      </c>
    </row>
    <row r="214" spans="1:7" x14ac:dyDescent="0.35">
      <c r="A214" s="12" t="s">
        <v>82</v>
      </c>
      <c r="B214" s="13" t="s">
        <v>26</v>
      </c>
      <c r="C214" s="13" t="s">
        <v>27</v>
      </c>
      <c r="D214" s="12">
        <v>87.1</v>
      </c>
      <c r="E214" s="12">
        <v>55.3</v>
      </c>
      <c r="F214" s="12">
        <v>14.3</v>
      </c>
      <c r="G214" s="12">
        <f t="shared" si="18"/>
        <v>156.69999999999999</v>
      </c>
    </row>
    <row r="215" spans="1:7" x14ac:dyDescent="0.35">
      <c r="A215" s="12" t="s">
        <v>82</v>
      </c>
      <c r="B215" s="13" t="s">
        <v>28</v>
      </c>
      <c r="C215" s="13" t="s">
        <v>29</v>
      </c>
      <c r="D215" s="12"/>
      <c r="E215" s="12"/>
      <c r="F215" s="12"/>
      <c r="G215" s="12">
        <f t="shared" si="18"/>
        <v>0</v>
      </c>
    </row>
    <row r="216" spans="1:7" x14ac:dyDescent="0.35">
      <c r="A216" s="12" t="s">
        <v>82</v>
      </c>
      <c r="B216" s="13" t="s">
        <v>30</v>
      </c>
      <c r="C216" s="13" t="s">
        <v>31</v>
      </c>
      <c r="D216" s="12">
        <v>249.1</v>
      </c>
      <c r="E216" s="12">
        <v>786.5</v>
      </c>
      <c r="F216" s="12">
        <v>3</v>
      </c>
      <c r="G216" s="12">
        <f t="shared" si="18"/>
        <v>1038.5999999999999</v>
      </c>
    </row>
    <row r="217" spans="1:7" x14ac:dyDescent="0.35">
      <c r="A217" s="12" t="s">
        <v>82</v>
      </c>
      <c r="B217" s="13" t="s">
        <v>32</v>
      </c>
      <c r="C217" s="13" t="s">
        <v>33</v>
      </c>
      <c r="D217" s="14">
        <v>4448.8999999999996</v>
      </c>
      <c r="E217" s="14">
        <v>9150.1</v>
      </c>
      <c r="F217" s="12">
        <v>2052.4</v>
      </c>
      <c r="G217" s="12">
        <f t="shared" si="18"/>
        <v>15651.4</v>
      </c>
    </row>
    <row r="218" spans="1:7" x14ac:dyDescent="0.35">
      <c r="A218" s="12" t="s">
        <v>82</v>
      </c>
      <c r="B218" s="13" t="s">
        <v>34</v>
      </c>
      <c r="C218" s="13" t="s">
        <v>35</v>
      </c>
      <c r="D218" s="12">
        <v>170</v>
      </c>
      <c r="E218" s="12">
        <v>834</v>
      </c>
      <c r="F218" s="12">
        <v>15</v>
      </c>
      <c r="G218" s="12">
        <f t="shared" si="18"/>
        <v>1019</v>
      </c>
    </row>
    <row r="219" spans="1:7" x14ac:dyDescent="0.35">
      <c r="A219" s="12" t="s">
        <v>82</v>
      </c>
      <c r="B219" s="13" t="s">
        <v>36</v>
      </c>
      <c r="C219" s="13" t="s">
        <v>37</v>
      </c>
      <c r="D219" s="12">
        <v>176</v>
      </c>
      <c r="E219" s="12">
        <v>426</v>
      </c>
      <c r="F219" s="12"/>
      <c r="G219" s="12">
        <f t="shared" si="18"/>
        <v>602</v>
      </c>
    </row>
    <row r="220" spans="1:7" x14ac:dyDescent="0.35">
      <c r="A220" s="12" t="s">
        <v>82</v>
      </c>
      <c r="B220" s="13" t="s">
        <v>38</v>
      </c>
      <c r="C220" s="13" t="s">
        <v>39</v>
      </c>
      <c r="D220" s="12">
        <v>225.6</v>
      </c>
      <c r="E220" s="12">
        <v>556.79999999999995</v>
      </c>
      <c r="F220" s="12">
        <v>112.7</v>
      </c>
      <c r="G220" s="12">
        <f t="shared" si="18"/>
        <v>895.1</v>
      </c>
    </row>
    <row r="221" spans="1:7" x14ac:dyDescent="0.35">
      <c r="A221" s="12" t="s">
        <v>82</v>
      </c>
      <c r="B221" s="13" t="s">
        <v>40</v>
      </c>
      <c r="C221" s="13" t="s">
        <v>41</v>
      </c>
      <c r="D221" s="14">
        <v>3459</v>
      </c>
      <c r="E221" s="12"/>
      <c r="F221" s="12"/>
      <c r="G221" s="12">
        <f t="shared" si="18"/>
        <v>3459</v>
      </c>
    </row>
    <row r="222" spans="1:7" x14ac:dyDescent="0.35">
      <c r="A222" s="12" t="s">
        <v>82</v>
      </c>
      <c r="B222" s="13" t="s">
        <v>42</v>
      </c>
      <c r="C222" s="13" t="s">
        <v>43</v>
      </c>
      <c r="D222" s="14">
        <v>1278.9000000000001</v>
      </c>
      <c r="E222" s="14">
        <v>2129</v>
      </c>
      <c r="F222" s="12">
        <v>4.4000000000000004</v>
      </c>
      <c r="G222" s="12">
        <f t="shared" si="18"/>
        <v>3412.3</v>
      </c>
    </row>
    <row r="223" spans="1:7" x14ac:dyDescent="0.35">
      <c r="A223" s="12" t="s">
        <v>82</v>
      </c>
      <c r="B223" s="13" t="s">
        <v>44</v>
      </c>
      <c r="C223" s="13" t="s">
        <v>45</v>
      </c>
      <c r="D223" s="14">
        <v>2617.6</v>
      </c>
      <c r="E223" s="14">
        <v>6448.3</v>
      </c>
      <c r="F223" s="12">
        <v>65</v>
      </c>
      <c r="G223" s="12">
        <f t="shared" si="18"/>
        <v>9130.9</v>
      </c>
    </row>
    <row r="224" spans="1:7" x14ac:dyDescent="0.35">
      <c r="A224" s="12" t="s">
        <v>82</v>
      </c>
      <c r="B224" s="13" t="s">
        <v>46</v>
      </c>
      <c r="C224" s="13" t="s">
        <v>47</v>
      </c>
      <c r="D224" s="12">
        <v>393</v>
      </c>
      <c r="E224" s="14">
        <v>1053</v>
      </c>
      <c r="F224" s="12">
        <v>399</v>
      </c>
      <c r="G224" s="12">
        <f t="shared" si="18"/>
        <v>1845</v>
      </c>
    </row>
    <row r="225" spans="1:7" x14ac:dyDescent="0.35">
      <c r="A225" s="12" t="s">
        <v>82</v>
      </c>
      <c r="B225" s="13" t="s">
        <v>60</v>
      </c>
      <c r="C225" s="12" t="s">
        <v>61</v>
      </c>
      <c r="D225" s="12"/>
      <c r="E225" s="12"/>
      <c r="F225" s="12"/>
      <c r="G225" s="12">
        <f t="shared" si="18"/>
        <v>0</v>
      </c>
    </row>
    <row r="226" spans="1:7" x14ac:dyDescent="0.35">
      <c r="A226" s="12" t="s">
        <v>82</v>
      </c>
      <c r="B226" s="13" t="s">
        <v>48</v>
      </c>
      <c r="C226" s="13" t="s">
        <v>49</v>
      </c>
      <c r="D226" s="14">
        <v>1373.1</v>
      </c>
      <c r="E226" s="14">
        <v>4283.3</v>
      </c>
      <c r="F226" s="12">
        <v>3.4</v>
      </c>
      <c r="G226" s="12">
        <f t="shared" si="18"/>
        <v>5659.7999999999993</v>
      </c>
    </row>
    <row r="227" spans="1:7" x14ac:dyDescent="0.35">
      <c r="A227" s="12" t="s">
        <v>82</v>
      </c>
      <c r="B227" s="12" t="s">
        <v>57</v>
      </c>
      <c r="C227" s="13" t="s">
        <v>58</v>
      </c>
      <c r="D227" s="12">
        <v>58.9</v>
      </c>
      <c r="E227" s="12">
        <v>621.29999999999995</v>
      </c>
      <c r="F227" s="12">
        <v>6.4</v>
      </c>
      <c r="G227" s="12">
        <f t="shared" si="18"/>
        <v>686.59999999999991</v>
      </c>
    </row>
    <row r="228" spans="1:7" x14ac:dyDescent="0.35">
      <c r="A228" s="12" t="s">
        <v>82</v>
      </c>
      <c r="B228" s="13" t="s">
        <v>50</v>
      </c>
      <c r="C228" s="13" t="s">
        <v>51</v>
      </c>
      <c r="D228" s="12">
        <v>258.8</v>
      </c>
      <c r="E228" s="12">
        <v>894.6</v>
      </c>
      <c r="F228" s="12">
        <v>23</v>
      </c>
      <c r="G228" s="12">
        <f t="shared" si="18"/>
        <v>1176.4000000000001</v>
      </c>
    </row>
    <row r="229" spans="1:7" x14ac:dyDescent="0.35">
      <c r="A229" s="12" t="s">
        <v>82</v>
      </c>
      <c r="B229" s="13" t="s">
        <v>52</v>
      </c>
      <c r="C229" s="13" t="s">
        <v>53</v>
      </c>
      <c r="D229" s="12"/>
      <c r="E229" s="12">
        <v>926.1</v>
      </c>
      <c r="F229" s="12"/>
      <c r="G229" s="12">
        <f t="shared" si="18"/>
        <v>926.1</v>
      </c>
    </row>
    <row r="230" spans="1:7" x14ac:dyDescent="0.35">
      <c r="A230" s="12" t="s">
        <v>82</v>
      </c>
      <c r="B230" s="13" t="s">
        <v>52</v>
      </c>
      <c r="C230" s="13" t="s">
        <v>54</v>
      </c>
      <c r="D230" s="14">
        <v>1805.2</v>
      </c>
      <c r="E230" s="12">
        <v>144.30000000000001</v>
      </c>
      <c r="F230" s="12">
        <v>386</v>
      </c>
      <c r="G230" s="12">
        <f t="shared" si="18"/>
        <v>2335.5</v>
      </c>
    </row>
    <row r="231" spans="1:7" x14ac:dyDescent="0.35">
      <c r="A231" s="12" t="s">
        <v>82</v>
      </c>
      <c r="B231" s="13" t="s">
        <v>62</v>
      </c>
      <c r="C231" s="12" t="s">
        <v>63</v>
      </c>
      <c r="D231" s="12"/>
      <c r="E231" s="12"/>
      <c r="F231" s="12"/>
      <c r="G231" s="12">
        <f t="shared" si="18"/>
        <v>0</v>
      </c>
    </row>
    <row r="232" spans="1:7" x14ac:dyDescent="0.35">
      <c r="A232" s="12" t="s">
        <v>82</v>
      </c>
      <c r="B232" s="13" t="s">
        <v>55</v>
      </c>
      <c r="C232" s="13" t="s">
        <v>56</v>
      </c>
      <c r="D232" s="14">
        <v>6698.2</v>
      </c>
      <c r="E232" s="14">
        <v>31798.799999999999</v>
      </c>
      <c r="F232" s="12"/>
      <c r="G232" s="12">
        <f t="shared" si="18"/>
        <v>38497</v>
      </c>
    </row>
    <row r="233" spans="1:7" x14ac:dyDescent="0.35">
      <c r="A233" s="12" t="s">
        <v>83</v>
      </c>
      <c r="B233" s="13" t="s">
        <v>6</v>
      </c>
      <c r="C233" s="13" t="s">
        <v>7</v>
      </c>
      <c r="D233" s="12">
        <v>669.4</v>
      </c>
      <c r="E233" s="14">
        <v>2539.6</v>
      </c>
      <c r="F233" s="12">
        <v>157.19999999999999</v>
      </c>
      <c r="G233" s="12">
        <f t="shared" si="18"/>
        <v>3366.2</v>
      </c>
    </row>
    <row r="234" spans="1:7" x14ac:dyDescent="0.35">
      <c r="A234" s="12" t="s">
        <v>83</v>
      </c>
      <c r="B234" s="13" t="s">
        <v>8</v>
      </c>
      <c r="C234" s="13" t="s">
        <v>9</v>
      </c>
      <c r="D234" s="14">
        <v>1198.0999999999999</v>
      </c>
      <c r="E234" s="14">
        <v>1445.2</v>
      </c>
      <c r="F234" s="14">
        <v>218.1</v>
      </c>
      <c r="G234" s="12">
        <f t="shared" si="18"/>
        <v>2861.4</v>
      </c>
    </row>
    <row r="235" spans="1:7" x14ac:dyDescent="0.35">
      <c r="A235" s="12" t="s">
        <v>83</v>
      </c>
      <c r="B235" s="13" t="s">
        <v>8</v>
      </c>
      <c r="C235" s="12" t="s">
        <v>59</v>
      </c>
      <c r="D235" s="14"/>
      <c r="E235" s="14">
        <v>1438</v>
      </c>
      <c r="F235" s="12"/>
      <c r="G235" s="12">
        <f t="shared" si="18"/>
        <v>1438</v>
      </c>
    </row>
    <row r="236" spans="1:7" x14ac:dyDescent="0.35">
      <c r="A236" s="12" t="s">
        <v>83</v>
      </c>
      <c r="B236" s="13" t="s">
        <v>10</v>
      </c>
      <c r="C236" s="13" t="s">
        <v>11</v>
      </c>
      <c r="D236" s="12">
        <v>97.7</v>
      </c>
      <c r="E236" s="12">
        <v>318.8</v>
      </c>
      <c r="F236" s="12">
        <v>5.7</v>
      </c>
      <c r="G236" s="12">
        <f t="shared" si="18"/>
        <v>422.2</v>
      </c>
    </row>
    <row r="237" spans="1:7" x14ac:dyDescent="0.35">
      <c r="A237" s="12" t="s">
        <v>83</v>
      </c>
      <c r="B237" s="13" t="s">
        <v>64</v>
      </c>
      <c r="C237" s="12" t="s">
        <v>65</v>
      </c>
      <c r="D237" s="12">
        <v>578.20000000000005</v>
      </c>
      <c r="E237" s="14">
        <v>4128.3999999999996</v>
      </c>
      <c r="F237" s="12">
        <v>0</v>
      </c>
      <c r="G237" s="12">
        <f t="shared" si="18"/>
        <v>4706.5999999999995</v>
      </c>
    </row>
    <row r="238" spans="1:7" x14ac:dyDescent="0.35">
      <c r="A238" s="12" t="s">
        <v>83</v>
      </c>
      <c r="B238" s="13" t="s">
        <v>12</v>
      </c>
      <c r="C238" s="13" t="s">
        <v>13</v>
      </c>
      <c r="D238" s="12">
        <v>264.8</v>
      </c>
      <c r="E238" s="12">
        <v>880.5</v>
      </c>
      <c r="F238" s="12">
        <v>35.5</v>
      </c>
      <c r="G238" s="12">
        <f t="shared" si="18"/>
        <v>1180.8</v>
      </c>
    </row>
    <row r="239" spans="1:7" x14ac:dyDescent="0.35">
      <c r="A239" s="12" t="s">
        <v>83</v>
      </c>
      <c r="B239" s="13" t="s">
        <v>14</v>
      </c>
      <c r="C239" s="13" t="s">
        <v>15</v>
      </c>
      <c r="D239" s="14">
        <v>10208</v>
      </c>
      <c r="E239" s="14">
        <v>15132</v>
      </c>
      <c r="F239" s="14">
        <v>170</v>
      </c>
      <c r="G239" s="12">
        <f t="shared" si="18"/>
        <v>25510</v>
      </c>
    </row>
    <row r="240" spans="1:7" x14ac:dyDescent="0.35">
      <c r="A240" s="12" t="s">
        <v>83</v>
      </c>
      <c r="B240" s="13" t="s">
        <v>16</v>
      </c>
      <c r="C240" s="13" t="s">
        <v>17</v>
      </c>
      <c r="D240" s="12">
        <v>909.5</v>
      </c>
      <c r="E240" s="14">
        <v>3462.8</v>
      </c>
      <c r="F240" s="12">
        <v>211.1</v>
      </c>
      <c r="G240" s="12">
        <f t="shared" si="18"/>
        <v>4583.4000000000005</v>
      </c>
    </row>
    <row r="241" spans="1:7" x14ac:dyDescent="0.35">
      <c r="A241" s="12" t="s">
        <v>83</v>
      </c>
      <c r="B241" s="13" t="s">
        <v>18</v>
      </c>
      <c r="C241" s="13" t="s">
        <v>19</v>
      </c>
      <c r="D241" s="12">
        <v>200</v>
      </c>
      <c r="E241" s="12">
        <v>428</v>
      </c>
      <c r="F241" s="12">
        <v>0</v>
      </c>
      <c r="G241" s="12">
        <f t="shared" si="18"/>
        <v>628</v>
      </c>
    </row>
    <row r="242" spans="1:7" x14ac:dyDescent="0.35">
      <c r="A242" s="12" t="s">
        <v>83</v>
      </c>
      <c r="B242" s="13" t="s">
        <v>20</v>
      </c>
      <c r="C242" s="13" t="s">
        <v>21</v>
      </c>
      <c r="D242" s="14">
        <v>2446</v>
      </c>
      <c r="E242" s="14">
        <v>1977.7</v>
      </c>
      <c r="F242" s="14">
        <v>592.6</v>
      </c>
      <c r="G242" s="12">
        <f t="shared" si="18"/>
        <v>5016.3</v>
      </c>
    </row>
    <row r="243" spans="1:7" x14ac:dyDescent="0.35">
      <c r="A243" s="12" t="s">
        <v>83</v>
      </c>
      <c r="B243" s="13" t="s">
        <v>20</v>
      </c>
      <c r="C243" s="13" t="s">
        <v>22</v>
      </c>
      <c r="D243" s="14"/>
      <c r="E243" s="14">
        <v>2653.2</v>
      </c>
      <c r="F243" s="12"/>
      <c r="G243" s="12">
        <f t="shared" si="18"/>
        <v>2653.2</v>
      </c>
    </row>
    <row r="244" spans="1:7" x14ac:dyDescent="0.35">
      <c r="A244" s="12" t="s">
        <v>83</v>
      </c>
      <c r="B244" s="13" t="s">
        <v>66</v>
      </c>
      <c r="C244" s="12" t="s">
        <v>67</v>
      </c>
      <c r="D244" s="14"/>
      <c r="E244" s="14"/>
      <c r="F244" s="12"/>
      <c r="G244" s="12"/>
    </row>
    <row r="245" spans="1:7" x14ac:dyDescent="0.35">
      <c r="A245" s="12" t="s">
        <v>83</v>
      </c>
      <c r="B245" s="13" t="s">
        <v>23</v>
      </c>
      <c r="C245" s="13" t="s">
        <v>24</v>
      </c>
      <c r="D245" s="14">
        <v>6006.9</v>
      </c>
      <c r="E245" s="14">
        <v>11106.6</v>
      </c>
      <c r="F245" s="14">
        <v>1739.1</v>
      </c>
      <c r="G245" s="12">
        <f>SUM(D245:F245)</f>
        <v>18852.599999999999</v>
      </c>
    </row>
    <row r="246" spans="1:7" x14ac:dyDescent="0.35">
      <c r="A246" s="12" t="s">
        <v>83</v>
      </c>
      <c r="B246" s="13" t="s">
        <v>23</v>
      </c>
      <c r="C246" s="13" t="s">
        <v>25</v>
      </c>
      <c r="D246" s="14"/>
      <c r="E246" s="14">
        <v>5637</v>
      </c>
      <c r="F246" s="12"/>
      <c r="G246" s="12">
        <f>SUM(D246:F246)</f>
        <v>5637</v>
      </c>
    </row>
    <row r="247" spans="1:7" x14ac:dyDescent="0.35">
      <c r="A247" s="12" t="s">
        <v>83</v>
      </c>
      <c r="B247" s="13" t="s">
        <v>26</v>
      </c>
      <c r="C247" s="13" t="s">
        <v>27</v>
      </c>
      <c r="D247" s="12">
        <v>94.2</v>
      </c>
      <c r="E247" s="12">
        <v>50.7</v>
      </c>
      <c r="F247" s="14">
        <v>121.1</v>
      </c>
      <c r="G247" s="12">
        <f>SUM(D247:F247)</f>
        <v>266</v>
      </c>
    </row>
    <row r="248" spans="1:7" x14ac:dyDescent="0.35">
      <c r="A248" s="12" t="s">
        <v>83</v>
      </c>
      <c r="B248" s="13" t="s">
        <v>28</v>
      </c>
      <c r="C248" s="13" t="s">
        <v>29</v>
      </c>
      <c r="D248" s="12"/>
      <c r="E248" s="12"/>
      <c r="F248" s="12"/>
      <c r="G248" s="12">
        <f t="shared" ref="G248" si="19">SUM(D248:F248)</f>
        <v>0</v>
      </c>
    </row>
    <row r="249" spans="1:7" x14ac:dyDescent="0.35">
      <c r="A249" s="12" t="s">
        <v>83</v>
      </c>
      <c r="B249" s="13" t="s">
        <v>30</v>
      </c>
      <c r="C249" s="13" t="s">
        <v>31</v>
      </c>
      <c r="D249" s="12">
        <v>249.9</v>
      </c>
      <c r="E249" s="12">
        <v>646.4</v>
      </c>
      <c r="F249" s="12">
        <v>1.5</v>
      </c>
      <c r="G249" s="12">
        <f>SUM(D249:F249)</f>
        <v>897.8</v>
      </c>
    </row>
    <row r="250" spans="1:7" x14ac:dyDescent="0.35">
      <c r="A250" s="12" t="s">
        <v>83</v>
      </c>
      <c r="B250" s="13" t="s">
        <v>32</v>
      </c>
      <c r="C250" s="13" t="s">
        <v>33</v>
      </c>
      <c r="D250" s="14">
        <v>3773</v>
      </c>
      <c r="E250" s="14">
        <v>3881</v>
      </c>
      <c r="F250" s="14">
        <v>1952</v>
      </c>
      <c r="G250" s="12">
        <f>SUM(D250:F250)</f>
        <v>9606</v>
      </c>
    </row>
    <row r="251" spans="1:7" x14ac:dyDescent="0.35">
      <c r="A251" s="12" t="s">
        <v>83</v>
      </c>
      <c r="B251" s="13" t="s">
        <v>34</v>
      </c>
      <c r="C251" s="13" t="s">
        <v>35</v>
      </c>
      <c r="D251" s="12">
        <v>133</v>
      </c>
      <c r="E251" s="12">
        <v>669</v>
      </c>
      <c r="F251" s="12">
        <v>8</v>
      </c>
      <c r="G251" s="12">
        <f>SUM(D251:F251)</f>
        <v>810</v>
      </c>
    </row>
    <row r="252" spans="1:7" x14ac:dyDescent="0.35">
      <c r="A252" s="12" t="s">
        <v>83</v>
      </c>
      <c r="B252" s="13" t="s">
        <v>36</v>
      </c>
      <c r="C252" s="13" t="s">
        <v>37</v>
      </c>
      <c r="D252" s="12">
        <v>105.5</v>
      </c>
      <c r="E252" s="12">
        <v>284.8</v>
      </c>
      <c r="F252" s="12"/>
      <c r="G252" s="12">
        <f>SUM(D252:F252)</f>
        <v>390.3</v>
      </c>
    </row>
    <row r="253" spans="1:7" x14ac:dyDescent="0.35">
      <c r="A253" s="12" t="s">
        <v>83</v>
      </c>
      <c r="B253" s="13" t="s">
        <v>38</v>
      </c>
      <c r="C253" s="13" t="s">
        <v>39</v>
      </c>
      <c r="D253" s="12">
        <v>252.8</v>
      </c>
      <c r="E253" s="12">
        <v>506.8</v>
      </c>
      <c r="F253" s="12">
        <v>126.8</v>
      </c>
      <c r="G253" s="12">
        <f>SUM(D253:F253)</f>
        <v>886.4</v>
      </c>
    </row>
    <row r="254" spans="1:7" x14ac:dyDescent="0.35">
      <c r="A254" s="12" t="s">
        <v>83</v>
      </c>
      <c r="B254" s="13" t="s">
        <v>40</v>
      </c>
      <c r="C254" s="13" t="s">
        <v>41</v>
      </c>
      <c r="D254" s="12"/>
      <c r="E254" s="12"/>
      <c r="F254" s="12"/>
      <c r="G254" s="12">
        <f t="shared" ref="G254" si="20">SUM(D254:F254)</f>
        <v>0</v>
      </c>
    </row>
    <row r="255" spans="1:7" x14ac:dyDescent="0.35">
      <c r="A255" s="12" t="s">
        <v>83</v>
      </c>
      <c r="B255" s="13" t="s">
        <v>42</v>
      </c>
      <c r="C255" s="13" t="s">
        <v>43</v>
      </c>
      <c r="D255" s="14">
        <v>1151.9000000000001</v>
      </c>
      <c r="E255" s="14">
        <v>2110.4</v>
      </c>
      <c r="F255" s="14">
        <v>29</v>
      </c>
      <c r="G255" s="12">
        <f t="shared" ref="G255:G261" si="21">SUM(D255:F255)</f>
        <v>3291.3</v>
      </c>
    </row>
    <row r="256" spans="1:7" x14ac:dyDescent="0.35">
      <c r="A256" s="12" t="s">
        <v>83</v>
      </c>
      <c r="B256" s="13" t="s">
        <v>44</v>
      </c>
      <c r="C256" s="13" t="s">
        <v>45</v>
      </c>
      <c r="D256" s="14">
        <v>2104</v>
      </c>
      <c r="E256" s="14">
        <v>5132.1000000000004</v>
      </c>
      <c r="F256" s="14">
        <v>87.8</v>
      </c>
      <c r="G256" s="12">
        <f t="shared" si="21"/>
        <v>7323.9000000000005</v>
      </c>
    </row>
    <row r="257" spans="1:7" x14ac:dyDescent="0.35">
      <c r="A257" s="12" t="s">
        <v>83</v>
      </c>
      <c r="B257" s="13" t="s">
        <v>46</v>
      </c>
      <c r="C257" s="13" t="s">
        <v>47</v>
      </c>
      <c r="D257" s="12">
        <v>293</v>
      </c>
      <c r="E257" s="12">
        <v>875</v>
      </c>
      <c r="F257" s="12">
        <v>395</v>
      </c>
      <c r="G257" s="12">
        <f t="shared" si="21"/>
        <v>1563</v>
      </c>
    </row>
    <row r="258" spans="1:7" x14ac:dyDescent="0.35">
      <c r="A258" s="12" t="s">
        <v>83</v>
      </c>
      <c r="B258" s="13" t="s">
        <v>60</v>
      </c>
      <c r="C258" s="12" t="s">
        <v>61</v>
      </c>
      <c r="D258" s="14">
        <v>3995.3</v>
      </c>
      <c r="E258" s="14">
        <v>2211.9</v>
      </c>
      <c r="F258" s="12">
        <v>34.9</v>
      </c>
      <c r="G258" s="12">
        <f t="shared" si="21"/>
        <v>6242.1</v>
      </c>
    </row>
    <row r="259" spans="1:7" x14ac:dyDescent="0.35">
      <c r="A259" s="12" t="s">
        <v>83</v>
      </c>
      <c r="B259" s="13" t="s">
        <v>48</v>
      </c>
      <c r="C259" s="13" t="s">
        <v>49</v>
      </c>
      <c r="D259" s="14">
        <v>2094.1</v>
      </c>
      <c r="E259" s="14">
        <v>6214.4</v>
      </c>
      <c r="F259" s="14">
        <v>3.4</v>
      </c>
      <c r="G259" s="12">
        <f t="shared" si="21"/>
        <v>8311.9</v>
      </c>
    </row>
    <row r="260" spans="1:7" x14ac:dyDescent="0.35">
      <c r="A260" s="12" t="s">
        <v>83</v>
      </c>
      <c r="B260" s="12" t="s">
        <v>57</v>
      </c>
      <c r="C260" s="13" t="s">
        <v>58</v>
      </c>
      <c r="D260" s="12">
        <v>55</v>
      </c>
      <c r="E260" s="12">
        <v>564.29999999999995</v>
      </c>
      <c r="F260" s="14">
        <v>40.299999999999997</v>
      </c>
      <c r="G260" s="12">
        <f t="shared" si="21"/>
        <v>659.59999999999991</v>
      </c>
    </row>
    <row r="261" spans="1:7" x14ac:dyDescent="0.35">
      <c r="A261" s="12" t="s">
        <v>83</v>
      </c>
      <c r="B261" s="13" t="s">
        <v>50</v>
      </c>
      <c r="C261" s="13" t="s">
        <v>51</v>
      </c>
      <c r="D261" s="12">
        <v>217</v>
      </c>
      <c r="E261" s="12">
        <v>888</v>
      </c>
      <c r="F261" s="14">
        <v>20</v>
      </c>
      <c r="G261" s="12">
        <f t="shared" si="21"/>
        <v>1125</v>
      </c>
    </row>
    <row r="262" spans="1:7" x14ac:dyDescent="0.35">
      <c r="A262" s="12" t="s">
        <v>83</v>
      </c>
      <c r="B262" s="13" t="s">
        <v>52</v>
      </c>
      <c r="C262" s="13" t="s">
        <v>53</v>
      </c>
      <c r="D262" s="12"/>
      <c r="E262" s="14">
        <v>1157.2</v>
      </c>
      <c r="F262" s="12"/>
      <c r="G262" s="12">
        <f t="shared" ref="G262" si="22">SUM(D262:F262)</f>
        <v>1157.2</v>
      </c>
    </row>
    <row r="263" spans="1:7" x14ac:dyDescent="0.35">
      <c r="A263" s="12" t="s">
        <v>83</v>
      </c>
      <c r="B263" s="13" t="s">
        <v>52</v>
      </c>
      <c r="C263" s="13" t="s">
        <v>54</v>
      </c>
      <c r="D263" s="14">
        <v>1970.5</v>
      </c>
      <c r="E263" s="12">
        <v>178.7</v>
      </c>
      <c r="F263" s="14">
        <v>722.9</v>
      </c>
      <c r="G263" s="12">
        <f>SUM(D263:F263)</f>
        <v>2872.1</v>
      </c>
    </row>
    <row r="264" spans="1:7" x14ac:dyDescent="0.35">
      <c r="A264" s="12" t="s">
        <v>83</v>
      </c>
      <c r="B264" s="13" t="s">
        <v>62</v>
      </c>
      <c r="C264" s="12" t="s">
        <v>63</v>
      </c>
      <c r="D264" s="12"/>
      <c r="E264" s="12"/>
      <c r="F264" s="12"/>
      <c r="G264" s="12">
        <f>SUM(D264:F264)</f>
        <v>0</v>
      </c>
    </row>
    <row r="265" spans="1:7" x14ac:dyDescent="0.35">
      <c r="A265" s="12" t="s">
        <v>83</v>
      </c>
      <c r="B265" s="13" t="s">
        <v>55</v>
      </c>
      <c r="C265" s="13" t="s">
        <v>56</v>
      </c>
      <c r="D265" s="14">
        <v>7081.5</v>
      </c>
      <c r="E265" s="14">
        <v>31979.200000000001</v>
      </c>
      <c r="F265" s="14">
        <v>0</v>
      </c>
      <c r="G265" s="12">
        <f>SUM(D265:F265)</f>
        <v>39060.699999999997</v>
      </c>
    </row>
    <row r="266" spans="1:7" x14ac:dyDescent="0.35">
      <c r="A266" s="12" t="s">
        <v>84</v>
      </c>
      <c r="B266" s="13" t="s">
        <v>6</v>
      </c>
      <c r="C266" s="13" t="s">
        <v>7</v>
      </c>
      <c r="D266" s="12">
        <v>696</v>
      </c>
      <c r="E266" s="14">
        <v>2326</v>
      </c>
      <c r="F266" s="12">
        <v>150</v>
      </c>
      <c r="G266" s="12">
        <f t="shared" ref="G266:G297" si="23">SUM(D266:F266)</f>
        <v>3172</v>
      </c>
    </row>
    <row r="267" spans="1:7" x14ac:dyDescent="0.35">
      <c r="A267" s="12" t="s">
        <v>84</v>
      </c>
      <c r="B267" s="13" t="s">
        <v>8</v>
      </c>
      <c r="C267" s="13" t="s">
        <v>9</v>
      </c>
      <c r="D267" s="14">
        <v>1444.5</v>
      </c>
      <c r="E267" s="14">
        <v>1191.5999999999999</v>
      </c>
      <c r="F267" s="12">
        <v>408.5</v>
      </c>
      <c r="G267" s="12">
        <f t="shared" si="23"/>
        <v>3044.6</v>
      </c>
    </row>
    <row r="268" spans="1:7" x14ac:dyDescent="0.35">
      <c r="A268" s="12" t="s">
        <v>84</v>
      </c>
      <c r="B268" s="13" t="s">
        <v>8</v>
      </c>
      <c r="C268" s="12" t="s">
        <v>59</v>
      </c>
      <c r="D268" s="14"/>
      <c r="E268" s="14">
        <v>1285</v>
      </c>
      <c r="F268" s="12">
        <v>0</v>
      </c>
      <c r="G268" s="12">
        <f t="shared" si="23"/>
        <v>1285</v>
      </c>
    </row>
    <row r="269" spans="1:7" x14ac:dyDescent="0.35">
      <c r="A269" s="12" t="s">
        <v>84</v>
      </c>
      <c r="B269" s="13" t="s">
        <v>10</v>
      </c>
      <c r="C269" s="13" t="s">
        <v>11</v>
      </c>
      <c r="D269" s="12">
        <v>83.8</v>
      </c>
      <c r="E269" s="12">
        <v>285</v>
      </c>
      <c r="F269" s="12">
        <v>4.8</v>
      </c>
      <c r="G269" s="12">
        <f t="shared" si="23"/>
        <v>373.6</v>
      </c>
    </row>
    <row r="270" spans="1:7" x14ac:dyDescent="0.35">
      <c r="A270" s="12" t="s">
        <v>84</v>
      </c>
      <c r="B270" s="13" t="s">
        <v>64</v>
      </c>
      <c r="C270" s="12" t="s">
        <v>65</v>
      </c>
      <c r="D270" s="12">
        <v>572.1</v>
      </c>
      <c r="E270" s="14">
        <v>4095.6</v>
      </c>
      <c r="F270" s="12">
        <v>0</v>
      </c>
      <c r="G270" s="12">
        <f t="shared" si="23"/>
        <v>4667.7</v>
      </c>
    </row>
    <row r="271" spans="1:7" x14ac:dyDescent="0.35">
      <c r="A271" s="12" t="s">
        <v>84</v>
      </c>
      <c r="B271" s="13" t="s">
        <v>12</v>
      </c>
      <c r="C271" s="13" t="s">
        <v>13</v>
      </c>
      <c r="D271" s="12">
        <v>265.39999999999998</v>
      </c>
      <c r="E271" s="12">
        <v>838.9</v>
      </c>
      <c r="F271" s="12">
        <v>83</v>
      </c>
      <c r="G271" s="12">
        <f t="shared" si="23"/>
        <v>1187.3</v>
      </c>
    </row>
    <row r="272" spans="1:7" x14ac:dyDescent="0.35">
      <c r="A272" s="12" t="s">
        <v>84</v>
      </c>
      <c r="B272" s="13" t="s">
        <v>14</v>
      </c>
      <c r="C272" s="13" t="s">
        <v>15</v>
      </c>
      <c r="D272" s="14">
        <v>10331</v>
      </c>
      <c r="E272" s="14">
        <v>15132</v>
      </c>
      <c r="F272" s="12">
        <v>170</v>
      </c>
      <c r="G272" s="12">
        <f t="shared" si="23"/>
        <v>25633</v>
      </c>
    </row>
    <row r="273" spans="1:7" x14ac:dyDescent="0.35">
      <c r="A273" s="12" t="s">
        <v>84</v>
      </c>
      <c r="B273" s="13" t="s">
        <v>16</v>
      </c>
      <c r="C273" s="13" t="s">
        <v>17</v>
      </c>
      <c r="D273" s="12">
        <v>963.8</v>
      </c>
      <c r="E273" s="14">
        <v>3251.2</v>
      </c>
      <c r="F273" s="12">
        <v>66.400000000000006</v>
      </c>
      <c r="G273" s="12">
        <f t="shared" si="23"/>
        <v>4281.3999999999996</v>
      </c>
    </row>
    <row r="274" spans="1:7" x14ac:dyDescent="0.35">
      <c r="A274" s="12" t="s">
        <v>84</v>
      </c>
      <c r="B274" s="13" t="s">
        <v>18</v>
      </c>
      <c r="C274" s="13" t="s">
        <v>19</v>
      </c>
      <c r="D274" s="12">
        <v>200</v>
      </c>
      <c r="E274" s="12">
        <v>367</v>
      </c>
      <c r="F274" s="12">
        <v>0</v>
      </c>
      <c r="G274" s="12">
        <f t="shared" si="23"/>
        <v>567</v>
      </c>
    </row>
    <row r="275" spans="1:7" x14ac:dyDescent="0.35">
      <c r="A275" s="12" t="s">
        <v>84</v>
      </c>
      <c r="B275" s="13" t="s">
        <v>20</v>
      </c>
      <c r="C275" s="13" t="s">
        <v>21</v>
      </c>
      <c r="D275" s="14">
        <v>1783.7</v>
      </c>
      <c r="E275" s="14">
        <v>2058.6</v>
      </c>
      <c r="F275" s="12">
        <v>410</v>
      </c>
      <c r="G275" s="12">
        <f t="shared" si="23"/>
        <v>4252.3</v>
      </c>
    </row>
    <row r="276" spans="1:7" x14ac:dyDescent="0.35">
      <c r="A276" s="12" t="s">
        <v>84</v>
      </c>
      <c r="B276" s="13" t="s">
        <v>20</v>
      </c>
      <c r="C276" s="13" t="s">
        <v>22</v>
      </c>
      <c r="D276" s="14"/>
      <c r="E276" s="14">
        <v>2149</v>
      </c>
      <c r="F276" s="12">
        <v>0</v>
      </c>
      <c r="G276" s="12">
        <f t="shared" si="23"/>
        <v>2149</v>
      </c>
    </row>
    <row r="277" spans="1:7" x14ac:dyDescent="0.35">
      <c r="A277" s="12" t="s">
        <v>84</v>
      </c>
      <c r="B277" s="13" t="s">
        <v>66</v>
      </c>
      <c r="C277" s="12" t="s">
        <v>67</v>
      </c>
      <c r="D277" s="14">
        <v>1072</v>
      </c>
      <c r="E277" s="14">
        <v>1089</v>
      </c>
      <c r="F277" s="12"/>
      <c r="G277" s="12">
        <f t="shared" si="23"/>
        <v>2161</v>
      </c>
    </row>
    <row r="278" spans="1:7" x14ac:dyDescent="0.35">
      <c r="A278" s="12" t="s">
        <v>84</v>
      </c>
      <c r="B278" s="13" t="s">
        <v>23</v>
      </c>
      <c r="C278" s="13" t="s">
        <v>24</v>
      </c>
      <c r="D278" s="14">
        <v>5812.2</v>
      </c>
      <c r="E278" s="14">
        <v>9792.1</v>
      </c>
      <c r="F278" s="14">
        <v>1630.9</v>
      </c>
      <c r="G278" s="12">
        <f t="shared" si="23"/>
        <v>17235.2</v>
      </c>
    </row>
    <row r="279" spans="1:7" x14ac:dyDescent="0.35">
      <c r="A279" s="12" t="s">
        <v>84</v>
      </c>
      <c r="B279" s="13" t="s">
        <v>23</v>
      </c>
      <c r="C279" s="13" t="s">
        <v>25</v>
      </c>
      <c r="D279" s="14"/>
      <c r="E279" s="14">
        <v>5732</v>
      </c>
      <c r="F279" s="12">
        <v>0</v>
      </c>
      <c r="G279" s="12">
        <f t="shared" si="23"/>
        <v>5732</v>
      </c>
    </row>
    <row r="280" spans="1:7" x14ac:dyDescent="0.35">
      <c r="A280" s="12" t="s">
        <v>84</v>
      </c>
      <c r="B280" s="13" t="s">
        <v>26</v>
      </c>
      <c r="C280" s="13" t="s">
        <v>27</v>
      </c>
      <c r="D280" s="12">
        <v>79.599999999999994</v>
      </c>
      <c r="E280" s="12">
        <v>40</v>
      </c>
      <c r="F280" s="12">
        <v>7.3</v>
      </c>
      <c r="G280" s="12">
        <f t="shared" si="23"/>
        <v>126.89999999999999</v>
      </c>
    </row>
    <row r="281" spans="1:7" x14ac:dyDescent="0.35">
      <c r="A281" s="12" t="s">
        <v>84</v>
      </c>
      <c r="B281" s="13" t="s">
        <v>28</v>
      </c>
      <c r="C281" s="13" t="s">
        <v>29</v>
      </c>
      <c r="D281" s="12"/>
      <c r="E281" s="12"/>
      <c r="F281" s="12"/>
      <c r="G281" s="12">
        <f t="shared" si="23"/>
        <v>0</v>
      </c>
    </row>
    <row r="282" spans="1:7" x14ac:dyDescent="0.35">
      <c r="A282" s="12" t="s">
        <v>84</v>
      </c>
      <c r="B282" s="13" t="s">
        <v>30</v>
      </c>
      <c r="C282" s="13" t="s">
        <v>31</v>
      </c>
      <c r="D282" s="12">
        <v>201.5</v>
      </c>
      <c r="E282" s="12">
        <v>550.5</v>
      </c>
      <c r="F282" s="12">
        <v>1.1000000000000001</v>
      </c>
      <c r="G282" s="12">
        <f t="shared" si="23"/>
        <v>753.1</v>
      </c>
    </row>
    <row r="283" spans="1:7" x14ac:dyDescent="0.35">
      <c r="A283" s="12" t="s">
        <v>84</v>
      </c>
      <c r="B283" s="13" t="s">
        <v>32</v>
      </c>
      <c r="C283" s="13" t="s">
        <v>33</v>
      </c>
      <c r="D283" s="14">
        <v>3637.6</v>
      </c>
      <c r="E283" s="14">
        <v>3518.8</v>
      </c>
      <c r="F283" s="14">
        <v>1821.5</v>
      </c>
      <c r="G283" s="12">
        <f t="shared" si="23"/>
        <v>8977.9</v>
      </c>
    </row>
    <row r="284" spans="1:7" x14ac:dyDescent="0.35">
      <c r="A284" s="12" t="s">
        <v>84</v>
      </c>
      <c r="B284" s="13" t="s">
        <v>34</v>
      </c>
      <c r="C284" s="13" t="s">
        <v>35</v>
      </c>
      <c r="D284" s="12">
        <v>120</v>
      </c>
      <c r="E284" s="12">
        <v>635</v>
      </c>
      <c r="F284" s="12">
        <v>7</v>
      </c>
      <c r="G284" s="12">
        <f t="shared" si="23"/>
        <v>762</v>
      </c>
    </row>
    <row r="285" spans="1:7" x14ac:dyDescent="0.35">
      <c r="A285" s="12" t="s">
        <v>84</v>
      </c>
      <c r="B285" s="13" t="s">
        <v>36</v>
      </c>
      <c r="C285" s="13" t="s">
        <v>37</v>
      </c>
      <c r="D285" s="12">
        <v>82.6</v>
      </c>
      <c r="E285" s="12">
        <v>259.5</v>
      </c>
      <c r="F285" s="12"/>
      <c r="G285" s="12">
        <f t="shared" si="23"/>
        <v>342.1</v>
      </c>
    </row>
    <row r="286" spans="1:7" x14ac:dyDescent="0.35">
      <c r="A286" s="12" t="s">
        <v>84</v>
      </c>
      <c r="B286" s="13" t="s">
        <v>38</v>
      </c>
      <c r="C286" s="13" t="s">
        <v>39</v>
      </c>
      <c r="D286" s="12">
        <v>181.3</v>
      </c>
      <c r="E286" s="12">
        <v>502.6</v>
      </c>
      <c r="F286" s="12">
        <v>97.7</v>
      </c>
      <c r="G286" s="12">
        <f t="shared" si="23"/>
        <v>781.60000000000014</v>
      </c>
    </row>
    <row r="287" spans="1:7" x14ac:dyDescent="0.35">
      <c r="A287" s="12" t="s">
        <v>84</v>
      </c>
      <c r="B287" s="13" t="s">
        <v>40</v>
      </c>
      <c r="C287" s="13" t="s">
        <v>41</v>
      </c>
      <c r="D287" s="12"/>
      <c r="E287" s="12"/>
      <c r="F287" s="14">
        <v>2727</v>
      </c>
      <c r="G287" s="12">
        <f t="shared" si="23"/>
        <v>2727</v>
      </c>
    </row>
    <row r="288" spans="1:7" x14ac:dyDescent="0.35">
      <c r="A288" s="12" t="s">
        <v>84</v>
      </c>
      <c r="B288" s="13" t="s">
        <v>42</v>
      </c>
      <c r="C288" s="13" t="s">
        <v>43</v>
      </c>
      <c r="D288" s="14">
        <v>1077.7</v>
      </c>
      <c r="E288" s="14">
        <v>1647</v>
      </c>
      <c r="F288" s="12">
        <v>12.8</v>
      </c>
      <c r="G288" s="12">
        <f t="shared" si="23"/>
        <v>2737.5</v>
      </c>
    </row>
    <row r="289" spans="1:11" x14ac:dyDescent="0.35">
      <c r="A289" s="12" t="s">
        <v>84</v>
      </c>
      <c r="B289" s="13" t="s">
        <v>44</v>
      </c>
      <c r="C289" s="13" t="s">
        <v>45</v>
      </c>
      <c r="D289" s="14">
        <v>1785.6</v>
      </c>
      <c r="E289" s="14">
        <v>4563</v>
      </c>
      <c r="F289" s="12">
        <v>78.599999999999994</v>
      </c>
      <c r="G289" s="12">
        <f t="shared" si="23"/>
        <v>6427.2000000000007</v>
      </c>
    </row>
    <row r="290" spans="1:11" x14ac:dyDescent="0.35">
      <c r="A290" s="12" t="s">
        <v>84</v>
      </c>
      <c r="B290" s="13" t="s">
        <v>46</v>
      </c>
      <c r="C290" s="13" t="s">
        <v>47</v>
      </c>
      <c r="D290" s="12">
        <v>280</v>
      </c>
      <c r="E290" s="12">
        <v>834</v>
      </c>
      <c r="F290" s="12">
        <v>379</v>
      </c>
      <c r="G290" s="12">
        <f t="shared" si="23"/>
        <v>1493</v>
      </c>
    </row>
    <row r="291" spans="1:11" x14ac:dyDescent="0.35">
      <c r="A291" s="12" t="s">
        <v>84</v>
      </c>
      <c r="B291" s="13" t="s">
        <v>60</v>
      </c>
      <c r="C291" s="12" t="s">
        <v>61</v>
      </c>
      <c r="D291" s="12">
        <v>2048.6999999999998</v>
      </c>
      <c r="E291" s="14">
        <v>1399.7</v>
      </c>
      <c r="F291" s="12">
        <v>59.6</v>
      </c>
      <c r="G291" s="12">
        <f t="shared" si="23"/>
        <v>3507.9999999999995</v>
      </c>
    </row>
    <row r="292" spans="1:11" x14ac:dyDescent="0.35">
      <c r="A292" s="12" t="s">
        <v>84</v>
      </c>
      <c r="B292" s="13" t="s">
        <v>48</v>
      </c>
      <c r="C292" s="13" t="s">
        <v>49</v>
      </c>
      <c r="D292" s="14">
        <v>2001.2</v>
      </c>
      <c r="E292" s="14">
        <v>5535</v>
      </c>
      <c r="F292" s="12">
        <v>1.4</v>
      </c>
      <c r="G292" s="12">
        <f t="shared" si="23"/>
        <v>7537.5999999999995</v>
      </c>
    </row>
    <row r="293" spans="1:11" x14ac:dyDescent="0.35">
      <c r="A293" s="12" t="s">
        <v>84</v>
      </c>
      <c r="B293" s="12" t="s">
        <v>57</v>
      </c>
      <c r="C293" s="13" t="s">
        <v>58</v>
      </c>
      <c r="D293" s="14">
        <v>48</v>
      </c>
      <c r="E293" s="12">
        <v>516.6</v>
      </c>
      <c r="F293" s="12">
        <v>35.200000000000003</v>
      </c>
      <c r="G293" s="12">
        <f t="shared" si="23"/>
        <v>599.80000000000007</v>
      </c>
    </row>
    <row r="294" spans="1:11" x14ac:dyDescent="0.35">
      <c r="A294" s="12" t="s">
        <v>84</v>
      </c>
      <c r="B294" s="13" t="s">
        <v>50</v>
      </c>
      <c r="C294" s="13" t="s">
        <v>51</v>
      </c>
      <c r="D294" s="14">
        <v>224.1</v>
      </c>
      <c r="E294" s="12">
        <v>825.1</v>
      </c>
      <c r="F294" s="12">
        <v>20.100000000000001</v>
      </c>
      <c r="G294" s="12">
        <f t="shared" si="23"/>
        <v>1069.3</v>
      </c>
    </row>
    <row r="295" spans="1:11" x14ac:dyDescent="0.35">
      <c r="A295" s="12" t="s">
        <v>84</v>
      </c>
      <c r="B295" s="13" t="s">
        <v>52</v>
      </c>
      <c r="C295" s="13" t="s">
        <v>53</v>
      </c>
      <c r="D295" s="12"/>
      <c r="E295" s="14">
        <v>1182.9000000000001</v>
      </c>
      <c r="F295" s="12"/>
      <c r="G295" s="12">
        <f t="shared" si="23"/>
        <v>1182.9000000000001</v>
      </c>
    </row>
    <row r="296" spans="1:11" x14ac:dyDescent="0.35">
      <c r="A296" s="12" t="s">
        <v>84</v>
      </c>
      <c r="B296" s="13" t="s">
        <v>52</v>
      </c>
      <c r="C296" s="13" t="s">
        <v>54</v>
      </c>
      <c r="D296" s="14">
        <v>1923.5</v>
      </c>
      <c r="E296" s="12">
        <v>166.4</v>
      </c>
      <c r="F296" s="12">
        <v>600.29999999999995</v>
      </c>
      <c r="G296" s="12">
        <f t="shared" si="23"/>
        <v>2690.2</v>
      </c>
    </row>
    <row r="297" spans="1:11" x14ac:dyDescent="0.35">
      <c r="A297" s="12" t="s">
        <v>84</v>
      </c>
      <c r="B297" s="13" t="s">
        <v>62</v>
      </c>
      <c r="C297" s="12" t="s">
        <v>63</v>
      </c>
      <c r="D297" s="12"/>
      <c r="E297" s="12"/>
      <c r="F297" s="12"/>
      <c r="G297" s="12">
        <f t="shared" si="23"/>
        <v>0</v>
      </c>
    </row>
    <row r="298" spans="1:11" x14ac:dyDescent="0.35">
      <c r="A298" s="12" t="s">
        <v>84</v>
      </c>
      <c r="B298" s="13" t="s">
        <v>55</v>
      </c>
      <c r="C298" s="13" t="s">
        <v>56</v>
      </c>
      <c r="D298" s="14">
        <v>6606.6</v>
      </c>
      <c r="E298" s="14">
        <v>31376.799999999999</v>
      </c>
      <c r="F298" s="12">
        <v>414.1</v>
      </c>
      <c r="G298" s="12">
        <v>38397.5</v>
      </c>
    </row>
    <row r="299" spans="1:11" x14ac:dyDescent="0.35">
      <c r="A299" s="12" t="s">
        <v>85</v>
      </c>
      <c r="B299" s="13" t="s">
        <v>6</v>
      </c>
      <c r="C299" s="13" t="s">
        <v>7</v>
      </c>
      <c r="D299" s="12">
        <v>623.99139322216297</v>
      </c>
      <c r="E299" s="12">
        <v>1974.0303827548164</v>
      </c>
      <c r="F299" s="12">
        <v>337.00292069197928</v>
      </c>
      <c r="G299" s="12">
        <v>2935.0246966689588</v>
      </c>
      <c r="I299" s="9"/>
      <c r="J299" s="9"/>
      <c r="K299" s="9"/>
    </row>
    <row r="300" spans="1:11" x14ac:dyDescent="0.35">
      <c r="A300" s="12" t="s">
        <v>85</v>
      </c>
      <c r="B300" s="13" t="s">
        <v>8</v>
      </c>
      <c r="C300" s="13" t="s">
        <v>9</v>
      </c>
      <c r="D300" s="12">
        <v>1009.5045076525263</v>
      </c>
      <c r="E300" s="12">
        <v>1018.0264844083723</v>
      </c>
      <c r="F300" s="12">
        <v>219.77726367891538</v>
      </c>
      <c r="G300" s="12">
        <v>2247.3082557398138</v>
      </c>
      <c r="I300" s="9"/>
      <c r="J300" s="9"/>
      <c r="K300" s="9"/>
    </row>
    <row r="301" spans="1:11" x14ac:dyDescent="0.35">
      <c r="A301" s="12" t="s">
        <v>85</v>
      </c>
      <c r="B301" s="13" t="s">
        <v>8</v>
      </c>
      <c r="C301" s="12" t="s">
        <v>59</v>
      </c>
      <c r="D301" s="12">
        <v>0</v>
      </c>
      <c r="E301" s="12">
        <v>1250</v>
      </c>
      <c r="F301" s="12">
        <v>0</v>
      </c>
      <c r="G301" s="12">
        <v>1250</v>
      </c>
      <c r="I301" s="9"/>
      <c r="J301" s="9"/>
      <c r="K301" s="9"/>
    </row>
    <row r="302" spans="1:11" x14ac:dyDescent="0.35">
      <c r="A302" s="12" t="s">
        <v>85</v>
      </c>
      <c r="B302" s="13" t="s">
        <v>10</v>
      </c>
      <c r="C302" s="13" t="s">
        <v>11</v>
      </c>
      <c r="D302" s="12">
        <v>88.837061380260778</v>
      </c>
      <c r="E302" s="12">
        <v>247.61077324066028</v>
      </c>
      <c r="F302" s="12">
        <v>6.7998300042498938</v>
      </c>
      <c r="G302" s="12">
        <v>343.24766462517096</v>
      </c>
      <c r="I302" s="9"/>
      <c r="J302" s="9"/>
      <c r="K302" s="9"/>
    </row>
    <row r="303" spans="1:11" x14ac:dyDescent="0.35">
      <c r="A303" s="12" t="s">
        <v>85</v>
      </c>
      <c r="B303" s="13" t="s">
        <v>64</v>
      </c>
      <c r="C303" s="12" t="s">
        <v>65</v>
      </c>
      <c r="D303" s="12">
        <v>550.20196191575303</v>
      </c>
      <c r="E303" s="12">
        <v>3974.381368267831</v>
      </c>
      <c r="F303" s="12">
        <v>0</v>
      </c>
      <c r="G303" s="12">
        <v>4524.5833301835837</v>
      </c>
      <c r="I303" s="9"/>
      <c r="J303" s="9"/>
      <c r="K303" s="9"/>
    </row>
    <row r="304" spans="1:11" x14ac:dyDescent="0.35">
      <c r="A304" s="12" t="s">
        <v>85</v>
      </c>
      <c r="B304" s="13" t="s">
        <v>12</v>
      </c>
      <c r="C304" s="13" t="s">
        <v>13</v>
      </c>
      <c r="D304" s="12">
        <v>257.4949063743087</v>
      </c>
      <c r="E304" s="12">
        <v>634.56883509833585</v>
      </c>
      <c r="F304" s="12">
        <v>40.704232259330098</v>
      </c>
      <c r="G304" s="12">
        <v>932.76797373197462</v>
      </c>
      <c r="I304" s="9"/>
      <c r="J304" s="9"/>
      <c r="K304" s="9"/>
    </row>
    <row r="305" spans="1:11" x14ac:dyDescent="0.35">
      <c r="A305" s="12" t="s">
        <v>85</v>
      </c>
      <c r="B305" s="13" t="s">
        <v>14</v>
      </c>
      <c r="C305" s="13" t="s">
        <v>15</v>
      </c>
      <c r="D305" s="12">
        <v>9484.0723400348852</v>
      </c>
      <c r="E305" s="12">
        <v>13401.824461960854</v>
      </c>
      <c r="F305" s="12">
        <v>197.01008228068142</v>
      </c>
      <c r="G305" s="12">
        <v>23082.906884276421</v>
      </c>
      <c r="I305" s="9"/>
      <c r="J305" s="9"/>
      <c r="K305" s="9"/>
    </row>
    <row r="306" spans="1:11" x14ac:dyDescent="0.35">
      <c r="A306" s="12" t="s">
        <v>85</v>
      </c>
      <c r="B306" s="13" t="s">
        <v>16</v>
      </c>
      <c r="C306" s="13" t="s">
        <v>17</v>
      </c>
      <c r="D306" s="12">
        <v>757.46620559572455</v>
      </c>
      <c r="E306" s="12">
        <v>2766.5078284547308</v>
      </c>
      <c r="F306" s="12">
        <v>61.169967756794115</v>
      </c>
      <c r="G306" s="12">
        <v>3585.1440018072494</v>
      </c>
      <c r="I306" s="9"/>
      <c r="J306" s="9"/>
      <c r="K306" s="9"/>
    </row>
    <row r="307" spans="1:11" x14ac:dyDescent="0.35">
      <c r="A307" s="12" t="s">
        <v>85</v>
      </c>
      <c r="B307" s="13" t="s">
        <v>18</v>
      </c>
      <c r="C307" s="13" t="s">
        <v>19</v>
      </c>
      <c r="D307" s="12">
        <v>150.00375009375236</v>
      </c>
      <c r="E307" s="12">
        <v>295.99161222679248</v>
      </c>
      <c r="F307" s="12">
        <v>0</v>
      </c>
      <c r="G307" s="12">
        <v>445.99536232054481</v>
      </c>
      <c r="I307" s="9"/>
      <c r="J307" s="9"/>
      <c r="K307" s="9"/>
    </row>
    <row r="308" spans="1:11" x14ac:dyDescent="0.35">
      <c r="A308" s="12" t="s">
        <v>85</v>
      </c>
      <c r="B308" s="13" t="s">
        <v>20</v>
      </c>
      <c r="C308" s="13" t="s">
        <v>21</v>
      </c>
      <c r="D308" s="12">
        <v>1530.4161304161305</v>
      </c>
      <c r="E308" s="12">
        <v>1515.7941241440249</v>
      </c>
      <c r="F308" s="12">
        <v>487.86292241789624</v>
      </c>
      <c r="G308" s="12">
        <v>3534.0731769780518</v>
      </c>
      <c r="I308" s="9"/>
      <c r="J308" s="9"/>
      <c r="K308" s="9"/>
    </row>
    <row r="309" spans="1:11" x14ac:dyDescent="0.35">
      <c r="A309" s="12" t="s">
        <v>85</v>
      </c>
      <c r="B309" s="13" t="s">
        <v>20</v>
      </c>
      <c r="C309" s="13" t="s">
        <v>22</v>
      </c>
      <c r="D309" s="12">
        <v>0</v>
      </c>
      <c r="E309" s="12">
        <v>2149</v>
      </c>
      <c r="F309" s="12">
        <v>0</v>
      </c>
      <c r="G309" s="12">
        <v>2149</v>
      </c>
      <c r="I309" s="9"/>
      <c r="J309" s="9"/>
      <c r="K309" s="9"/>
    </row>
    <row r="310" spans="1:11" x14ac:dyDescent="0.35">
      <c r="A310" s="12" t="s">
        <v>85</v>
      </c>
      <c r="B310" s="13" t="s">
        <v>66</v>
      </c>
      <c r="C310" s="12" t="s">
        <v>67</v>
      </c>
      <c r="D310" s="12">
        <v>996.00483136671926</v>
      </c>
      <c r="E310" s="12">
        <v>917.98027480401254</v>
      </c>
      <c r="F310" s="12">
        <v>0</v>
      </c>
      <c r="G310" s="12">
        <v>1913.9851061707318</v>
      </c>
      <c r="I310" s="9"/>
      <c r="J310" s="9"/>
      <c r="K310" s="9"/>
    </row>
    <row r="311" spans="1:11" x14ac:dyDescent="0.35">
      <c r="A311" s="12" t="s">
        <v>85</v>
      </c>
      <c r="B311" s="13" t="s">
        <v>23</v>
      </c>
      <c r="C311" s="13" t="s">
        <v>24</v>
      </c>
      <c r="D311" s="12">
        <v>5022.2068607966821</v>
      </c>
      <c r="E311" s="12">
        <v>8147.8615410218008</v>
      </c>
      <c r="F311" s="12">
        <v>2058.9572023734377</v>
      </c>
      <c r="G311" s="12">
        <v>15229.025604191922</v>
      </c>
      <c r="I311" s="9"/>
      <c r="J311" s="9"/>
      <c r="K311" s="9"/>
    </row>
    <row r="312" spans="1:11" x14ac:dyDescent="0.35">
      <c r="A312" s="12" t="s">
        <v>85</v>
      </c>
      <c r="B312" s="13" t="s">
        <v>23</v>
      </c>
      <c r="C312" s="13" t="s">
        <v>25</v>
      </c>
      <c r="D312" s="12">
        <v>0</v>
      </c>
      <c r="E312" s="12">
        <v>5732</v>
      </c>
      <c r="F312" s="12">
        <v>0</v>
      </c>
      <c r="G312" s="12">
        <v>5732</v>
      </c>
      <c r="I312" s="9"/>
      <c r="J312" s="9"/>
      <c r="K312" s="9"/>
    </row>
    <row r="313" spans="1:11" x14ac:dyDescent="0.35">
      <c r="A313" s="12" t="s">
        <v>85</v>
      </c>
      <c r="B313" s="13" t="s">
        <v>26</v>
      </c>
      <c r="C313" s="13" t="s">
        <v>27</v>
      </c>
      <c r="D313" s="12">
        <v>43.502022078915722</v>
      </c>
      <c r="E313" s="12">
        <v>25.889967637540455</v>
      </c>
      <c r="F313" s="12">
        <v>15.43993231810491</v>
      </c>
      <c r="G313" s="12">
        <v>84.831922034561089</v>
      </c>
      <c r="I313" s="9"/>
      <c r="J313" s="9"/>
      <c r="K313" s="9"/>
    </row>
    <row r="314" spans="1:11" x14ac:dyDescent="0.35">
      <c r="A314" s="12" t="s">
        <v>85</v>
      </c>
      <c r="B314" s="13" t="s">
        <v>28</v>
      </c>
      <c r="C314" s="13" t="s">
        <v>29</v>
      </c>
      <c r="D314" s="12">
        <v>0</v>
      </c>
      <c r="E314" s="12">
        <v>0</v>
      </c>
      <c r="F314" s="12">
        <v>0</v>
      </c>
      <c r="G314" s="12">
        <v>0</v>
      </c>
      <c r="I314" s="9"/>
      <c r="J314" s="9"/>
      <c r="K314" s="9"/>
    </row>
    <row r="315" spans="1:11" x14ac:dyDescent="0.35">
      <c r="A315" s="12" t="s">
        <v>85</v>
      </c>
      <c r="B315" s="13" t="s">
        <v>30</v>
      </c>
      <c r="C315" s="13" t="s">
        <v>31</v>
      </c>
      <c r="D315" s="12">
        <v>187.09377901578461</v>
      </c>
      <c r="E315" s="12">
        <v>476.91241445031619</v>
      </c>
      <c r="F315" s="12">
        <v>4.3842168194499802</v>
      </c>
      <c r="G315" s="12">
        <v>668.39041028555073</v>
      </c>
      <c r="I315" s="1"/>
      <c r="J315" s="1"/>
      <c r="K315" s="1"/>
    </row>
    <row r="316" spans="1:11" x14ac:dyDescent="0.35">
      <c r="A316" s="12" t="s">
        <v>85</v>
      </c>
      <c r="B316" s="13" t="s">
        <v>32</v>
      </c>
      <c r="C316" s="13" t="s">
        <v>33</v>
      </c>
      <c r="D316" s="12">
        <v>3371.2696941612603</v>
      </c>
      <c r="E316" s="12">
        <v>2708.4359605911332</v>
      </c>
      <c r="F316" s="12">
        <v>1859.2426252934572</v>
      </c>
      <c r="G316" s="12">
        <v>7938.9482800458509</v>
      </c>
      <c r="I316" s="9"/>
      <c r="J316" s="9"/>
      <c r="K316" s="9"/>
    </row>
    <row r="317" spans="1:11" x14ac:dyDescent="0.35">
      <c r="A317" s="12" t="s">
        <v>85</v>
      </c>
      <c r="B317" s="13" t="s">
        <v>34</v>
      </c>
      <c r="C317" s="13" t="s">
        <v>35</v>
      </c>
      <c r="D317" s="12">
        <v>77.002053388090346</v>
      </c>
      <c r="E317" s="12">
        <v>377.99869039823801</v>
      </c>
      <c r="F317" s="12">
        <v>5.9998285763263901</v>
      </c>
      <c r="G317" s="12">
        <v>461.00057236265474</v>
      </c>
      <c r="I317" s="9"/>
      <c r="J317" s="9"/>
      <c r="K317" s="9"/>
    </row>
    <row r="318" spans="1:11" x14ac:dyDescent="0.35">
      <c r="A318" s="12" t="s">
        <v>85</v>
      </c>
      <c r="B318" s="13" t="s">
        <v>36</v>
      </c>
      <c r="C318" s="13" t="s">
        <v>37</v>
      </c>
      <c r="D318" s="12">
        <v>105.31684304475327</v>
      </c>
      <c r="E318" s="12">
        <v>223.18740861787219</v>
      </c>
      <c r="F318" s="12">
        <v>0</v>
      </c>
      <c r="G318" s="12">
        <v>328.50425166262545</v>
      </c>
      <c r="I318" s="9"/>
      <c r="J318" s="9"/>
      <c r="K318" s="9"/>
    </row>
    <row r="319" spans="1:11" x14ac:dyDescent="0.35">
      <c r="A319" s="12" t="s">
        <v>85</v>
      </c>
      <c r="B319" s="13" t="s">
        <v>38</v>
      </c>
      <c r="C319" s="13" t="s">
        <v>39</v>
      </c>
      <c r="D319" s="12">
        <v>186.6378422894791</v>
      </c>
      <c r="E319" s="12">
        <v>389.61240310077523</v>
      </c>
      <c r="F319" s="12">
        <v>113.73690337601863</v>
      </c>
      <c r="G319" s="12">
        <v>689.98714876627298</v>
      </c>
      <c r="I319" s="9"/>
      <c r="J319" s="9"/>
      <c r="K319" s="9"/>
    </row>
    <row r="320" spans="1:11" x14ac:dyDescent="0.35">
      <c r="A320" s="12" t="s">
        <v>85</v>
      </c>
      <c r="B320" s="13" t="s">
        <v>40</v>
      </c>
      <c r="C320" s="13" t="s">
        <v>41</v>
      </c>
      <c r="D320" s="12">
        <v>0</v>
      </c>
      <c r="E320" s="12">
        <v>0</v>
      </c>
      <c r="F320" s="12">
        <v>2727</v>
      </c>
      <c r="G320" s="12">
        <v>2727</v>
      </c>
      <c r="I320" s="9"/>
      <c r="J320" s="9"/>
      <c r="K320" s="9"/>
    </row>
    <row r="321" spans="1:11" x14ac:dyDescent="0.35">
      <c r="A321" s="12" t="s">
        <v>85</v>
      </c>
      <c r="B321" s="13" t="s">
        <v>42</v>
      </c>
      <c r="C321" s="13" t="s">
        <v>43</v>
      </c>
      <c r="D321" s="12">
        <v>1018.9089533894298</v>
      </c>
      <c r="E321" s="12">
        <v>1358.2384957941613</v>
      </c>
      <c r="F321" s="12">
        <v>1.2694256840518483</v>
      </c>
      <c r="G321" s="12">
        <v>2378.4168748676429</v>
      </c>
      <c r="I321" s="9"/>
      <c r="J321" s="9"/>
      <c r="K321" s="9"/>
    </row>
    <row r="322" spans="1:11" x14ac:dyDescent="0.35">
      <c r="A322" s="12" t="s">
        <v>85</v>
      </c>
      <c r="B322" s="13" t="s">
        <v>44</v>
      </c>
      <c r="C322" s="13" t="s">
        <v>45</v>
      </c>
      <c r="D322" s="12">
        <v>1944.6743628839031</v>
      </c>
      <c r="E322" s="12">
        <v>3352.9282092732751</v>
      </c>
      <c r="F322" s="12">
        <v>162.16216216216213</v>
      </c>
      <c r="G322" s="12">
        <v>5459.7647343193412</v>
      </c>
      <c r="I322" s="9"/>
      <c r="J322" s="9"/>
      <c r="K322" s="9"/>
    </row>
    <row r="323" spans="1:11" x14ac:dyDescent="0.35">
      <c r="A323" s="12" t="s">
        <v>85</v>
      </c>
      <c r="B323" s="13" t="s">
        <v>46</v>
      </c>
      <c r="C323" s="13" t="s">
        <v>47</v>
      </c>
      <c r="D323" s="12">
        <v>312.98904538341156</v>
      </c>
      <c r="E323" s="12">
        <v>688.00527965682238</v>
      </c>
      <c r="F323" s="12">
        <v>292.01017027505969</v>
      </c>
      <c r="G323" s="12">
        <v>1293.0044953152935</v>
      </c>
      <c r="I323" s="9"/>
      <c r="J323" s="9"/>
      <c r="K323" s="9"/>
    </row>
    <row r="324" spans="1:11" x14ac:dyDescent="0.35">
      <c r="A324" s="12" t="s">
        <v>85</v>
      </c>
      <c r="B324" s="13" t="s">
        <v>60</v>
      </c>
      <c r="C324" s="12" t="s">
        <v>61</v>
      </c>
      <c r="D324" s="12">
        <v>1979.6115566721421</v>
      </c>
      <c r="E324" s="12">
        <v>1070.7619339045289</v>
      </c>
      <c r="F324" s="12">
        <v>62.212943632567857</v>
      </c>
      <c r="G324" s="12">
        <v>3112.5864342092386</v>
      </c>
      <c r="I324" s="9"/>
      <c r="J324" s="9"/>
      <c r="K324" s="9"/>
    </row>
    <row r="325" spans="1:11" x14ac:dyDescent="0.35">
      <c r="A325" s="12" t="s">
        <v>85</v>
      </c>
      <c r="B325" s="13" t="s">
        <v>48</v>
      </c>
      <c r="C325" s="13" t="s">
        <v>49</v>
      </c>
      <c r="D325" s="12">
        <v>1839.1691940079036</v>
      </c>
      <c r="E325" s="12">
        <v>4621.357602070635</v>
      </c>
      <c r="F325" s="12">
        <v>3.6610878661087867</v>
      </c>
      <c r="G325" s="12">
        <v>6464.1878839446472</v>
      </c>
      <c r="I325" s="9"/>
      <c r="J325" s="9"/>
      <c r="K325" s="9"/>
    </row>
    <row r="326" spans="1:11" x14ac:dyDescent="0.35">
      <c r="A326" s="12" t="s">
        <v>85</v>
      </c>
      <c r="B326" s="12" t="s">
        <v>57</v>
      </c>
      <c r="C326" s="13" t="s">
        <v>58</v>
      </c>
      <c r="D326" s="12">
        <v>82.205857167323174</v>
      </c>
      <c r="E326" s="12">
        <v>293.48937620724917</v>
      </c>
      <c r="F326" s="12">
        <v>2.2980401373601267</v>
      </c>
      <c r="G326" s="12">
        <v>377.9932735119325</v>
      </c>
      <c r="I326" s="9"/>
      <c r="J326" s="9"/>
      <c r="K326" s="9"/>
    </row>
    <row r="327" spans="1:11" x14ac:dyDescent="0.35">
      <c r="A327" s="12" t="s">
        <v>85</v>
      </c>
      <c r="B327" s="13" t="s">
        <v>50</v>
      </c>
      <c r="C327" s="13" t="s">
        <v>51</v>
      </c>
      <c r="D327" s="12">
        <v>231.26934984520125</v>
      </c>
      <c r="E327" s="12">
        <v>665.08141221989365</v>
      </c>
      <c r="F327" s="12">
        <v>33.918326020924738</v>
      </c>
      <c r="G327" s="12">
        <v>930.26908808601956</v>
      </c>
      <c r="I327" s="9"/>
      <c r="J327" s="9"/>
      <c r="K327" s="9"/>
    </row>
    <row r="328" spans="1:11" x14ac:dyDescent="0.35">
      <c r="A328" s="12" t="s">
        <v>85</v>
      </c>
      <c r="B328" s="13" t="s">
        <v>52</v>
      </c>
      <c r="C328" s="13" t="s">
        <v>53</v>
      </c>
      <c r="D328" s="12">
        <v>0</v>
      </c>
      <c r="E328" s="12">
        <v>709.72580548389033</v>
      </c>
      <c r="F328" s="12">
        <v>0</v>
      </c>
      <c r="G328" s="12">
        <v>709.72580548389033</v>
      </c>
      <c r="I328" s="9"/>
      <c r="J328" s="9"/>
      <c r="K328" s="9"/>
    </row>
    <row r="329" spans="1:11" x14ac:dyDescent="0.35">
      <c r="A329" s="12" t="s">
        <v>85</v>
      </c>
      <c r="B329" s="13" t="s">
        <v>52</v>
      </c>
      <c r="C329" s="13" t="s">
        <v>54</v>
      </c>
      <c r="D329" s="12">
        <v>1607.0682596708161</v>
      </c>
      <c r="E329" s="12">
        <v>181.61973368260206</v>
      </c>
      <c r="F329" s="12">
        <v>772.38805970149247</v>
      </c>
      <c r="G329" s="12">
        <v>2561.0760530549105</v>
      </c>
      <c r="I329" s="9"/>
      <c r="J329" s="9"/>
      <c r="K329" s="9"/>
    </row>
    <row r="330" spans="1:11" x14ac:dyDescent="0.35">
      <c r="A330" s="12" t="s">
        <v>85</v>
      </c>
      <c r="B330" s="13" t="s">
        <v>62</v>
      </c>
      <c r="C330" s="12" t="s">
        <v>63</v>
      </c>
      <c r="D330" s="12">
        <v>0</v>
      </c>
      <c r="E330" s="12">
        <v>0</v>
      </c>
      <c r="F330" s="12">
        <v>0</v>
      </c>
      <c r="G330" s="12">
        <v>0</v>
      </c>
      <c r="I330" s="9"/>
      <c r="J330" s="9"/>
      <c r="K330" s="9"/>
    </row>
    <row r="331" spans="1:11" x14ac:dyDescent="0.35">
      <c r="A331" s="12" t="s">
        <v>85</v>
      </c>
      <c r="B331" s="13" t="s">
        <v>55</v>
      </c>
      <c r="C331" s="13" t="s">
        <v>56</v>
      </c>
      <c r="D331" s="12">
        <v>6404.2264443582781</v>
      </c>
      <c r="E331" s="12">
        <v>28090.241718889883</v>
      </c>
      <c r="F331" s="12">
        <v>254.12703283215711</v>
      </c>
      <c r="G331" s="12">
        <v>34748.595196080314</v>
      </c>
      <c r="I331" s="9"/>
      <c r="J331" s="9"/>
      <c r="K331" s="9"/>
    </row>
    <row r="332" spans="1:11" x14ac:dyDescent="0.35">
      <c r="A332" s="12" t="s">
        <v>86</v>
      </c>
      <c r="B332" s="13" t="s">
        <v>6</v>
      </c>
      <c r="C332" s="13" t="s">
        <v>7</v>
      </c>
      <c r="D332" s="12">
        <v>630</v>
      </c>
      <c r="E332" s="12">
        <v>1877</v>
      </c>
      <c r="F332" s="12">
        <v>161</v>
      </c>
      <c r="G332" s="12">
        <v>2668</v>
      </c>
      <c r="I332" s="9"/>
      <c r="J332" s="9"/>
      <c r="K332" s="9"/>
    </row>
    <row r="333" spans="1:11" x14ac:dyDescent="0.35">
      <c r="A333" s="12" t="s">
        <v>86</v>
      </c>
      <c r="B333" s="13" t="s">
        <v>8</v>
      </c>
      <c r="C333" s="13" t="s">
        <v>9</v>
      </c>
      <c r="D333" s="12">
        <v>1750.1</v>
      </c>
      <c r="E333" s="12"/>
      <c r="F333" s="12">
        <v>182.3</v>
      </c>
      <c r="G333" s="12">
        <v>1932.4</v>
      </c>
    </row>
    <row r="334" spans="1:11" x14ac:dyDescent="0.35">
      <c r="A334" s="12" t="s">
        <v>86</v>
      </c>
      <c r="B334" s="13" t="s">
        <v>8</v>
      </c>
      <c r="C334" s="12" t="s">
        <v>59</v>
      </c>
      <c r="D334" s="12"/>
      <c r="E334" s="12">
        <v>1316</v>
      </c>
      <c r="F334" s="12"/>
      <c r="G334" s="12">
        <v>1316</v>
      </c>
    </row>
    <row r="335" spans="1:11" x14ac:dyDescent="0.35">
      <c r="A335" s="12" t="s">
        <v>86</v>
      </c>
      <c r="B335" s="13" t="s">
        <v>10</v>
      </c>
      <c r="C335" s="13" t="s">
        <v>11</v>
      </c>
      <c r="D335" s="12">
        <v>83.2</v>
      </c>
      <c r="E335" s="12">
        <v>211.2</v>
      </c>
      <c r="F335" s="12">
        <v>6.7</v>
      </c>
      <c r="G335" s="12">
        <v>301.10000000000002</v>
      </c>
    </row>
    <row r="336" spans="1:11" x14ac:dyDescent="0.35">
      <c r="A336" s="12" t="s">
        <v>86</v>
      </c>
      <c r="B336" s="13" t="s">
        <v>64</v>
      </c>
      <c r="C336" s="12" t="s">
        <v>65</v>
      </c>
      <c r="D336" s="12">
        <v>487.9</v>
      </c>
      <c r="E336" s="12">
        <v>3710.3</v>
      </c>
      <c r="F336" s="12">
        <v>13.1</v>
      </c>
      <c r="G336" s="12">
        <v>4211.3999999999996</v>
      </c>
    </row>
    <row r="337" spans="1:7" x14ac:dyDescent="0.35">
      <c r="A337" s="12" t="s">
        <v>86</v>
      </c>
      <c r="B337" s="13" t="s">
        <v>12</v>
      </c>
      <c r="C337" s="13" t="s">
        <v>13</v>
      </c>
      <c r="D337" s="12">
        <v>202.6</v>
      </c>
      <c r="E337" s="12">
        <v>554.20000000000005</v>
      </c>
      <c r="F337" s="12">
        <v>36.4</v>
      </c>
      <c r="G337" s="12">
        <v>793.3</v>
      </c>
    </row>
    <row r="338" spans="1:7" x14ac:dyDescent="0.35">
      <c r="A338" s="12" t="s">
        <v>86</v>
      </c>
      <c r="B338" s="13" t="s">
        <v>14</v>
      </c>
      <c r="C338" s="13" t="s">
        <v>15</v>
      </c>
      <c r="D338" s="12">
        <v>6200</v>
      </c>
      <c r="E338" s="12">
        <v>17300</v>
      </c>
      <c r="F338" s="12">
        <v>220</v>
      </c>
      <c r="G338" s="12">
        <v>23720</v>
      </c>
    </row>
    <row r="339" spans="1:7" x14ac:dyDescent="0.35">
      <c r="A339" s="12" t="s">
        <v>86</v>
      </c>
      <c r="B339" s="13" t="s">
        <v>16</v>
      </c>
      <c r="C339" s="13" t="s">
        <v>17</v>
      </c>
      <c r="D339" s="12">
        <v>525.70000000000005</v>
      </c>
      <c r="E339" s="12">
        <v>2259.1</v>
      </c>
      <c r="F339" s="12">
        <v>27.7</v>
      </c>
      <c r="G339" s="12">
        <v>2812.5</v>
      </c>
    </row>
    <row r="340" spans="1:7" x14ac:dyDescent="0.35">
      <c r="A340" s="12" t="s">
        <v>86</v>
      </c>
      <c r="B340" s="13" t="s">
        <v>18</v>
      </c>
      <c r="C340" s="13" t="s">
        <v>19</v>
      </c>
      <c r="D340" s="12">
        <v>221</v>
      </c>
      <c r="E340" s="12">
        <v>206</v>
      </c>
      <c r="F340" s="12">
        <v>0</v>
      </c>
      <c r="G340" s="12">
        <v>427</v>
      </c>
    </row>
    <row r="341" spans="1:7" x14ac:dyDescent="0.35">
      <c r="A341" s="12" t="s">
        <v>86</v>
      </c>
      <c r="B341" s="13" t="s">
        <v>20</v>
      </c>
      <c r="C341" s="13" t="s">
        <v>21</v>
      </c>
      <c r="D341" s="12">
        <v>1336.3</v>
      </c>
      <c r="E341" s="12">
        <v>1161.2</v>
      </c>
      <c r="F341" s="12">
        <v>520.70000000000005</v>
      </c>
      <c r="G341" s="12">
        <v>3018.2</v>
      </c>
    </row>
    <row r="342" spans="1:7" x14ac:dyDescent="0.35">
      <c r="A342" s="12" t="s">
        <v>86</v>
      </c>
      <c r="B342" s="13" t="s">
        <v>20</v>
      </c>
      <c r="C342" s="13" t="s">
        <v>22</v>
      </c>
      <c r="D342" s="12"/>
      <c r="E342" s="12">
        <v>1495.4</v>
      </c>
      <c r="F342" s="12"/>
      <c r="G342" s="12">
        <v>1495.4</v>
      </c>
    </row>
    <row r="343" spans="1:7" x14ac:dyDescent="0.35">
      <c r="A343" s="12" t="s">
        <v>86</v>
      </c>
      <c r="B343" s="13" t="s">
        <v>66</v>
      </c>
      <c r="C343" s="12" t="s">
        <v>67</v>
      </c>
      <c r="D343" s="12">
        <v>897</v>
      </c>
      <c r="E343" s="12">
        <v>835</v>
      </c>
      <c r="F343" s="12">
        <v>0</v>
      </c>
      <c r="G343" s="12">
        <v>1732</v>
      </c>
    </row>
    <row r="344" spans="1:7" x14ac:dyDescent="0.35">
      <c r="A344" s="12" t="s">
        <v>86</v>
      </c>
      <c r="B344" s="13" t="s">
        <v>23</v>
      </c>
      <c r="C344" s="13" t="s">
        <v>24</v>
      </c>
      <c r="D344" s="12">
        <v>4957.8</v>
      </c>
      <c r="E344" s="12">
        <v>7244.1</v>
      </c>
      <c r="F344" s="12">
        <v>2108.5</v>
      </c>
      <c r="G344" s="12">
        <v>14310.4</v>
      </c>
    </row>
    <row r="345" spans="1:7" x14ac:dyDescent="0.35">
      <c r="A345" s="12" t="s">
        <v>86</v>
      </c>
      <c r="B345" s="13" t="s">
        <v>23</v>
      </c>
      <c r="C345" s="13" t="s">
        <v>25</v>
      </c>
      <c r="D345" s="12"/>
      <c r="E345" s="12">
        <v>4279</v>
      </c>
      <c r="F345" s="12"/>
      <c r="G345" s="12">
        <v>4279</v>
      </c>
    </row>
    <row r="346" spans="1:7" x14ac:dyDescent="0.35">
      <c r="A346" s="12" t="s">
        <v>86</v>
      </c>
      <c r="B346" s="13" t="s">
        <v>26</v>
      </c>
      <c r="C346" s="13" t="s">
        <v>27</v>
      </c>
      <c r="D346" s="12">
        <v>46.4</v>
      </c>
      <c r="E346" s="12">
        <v>19.7</v>
      </c>
      <c r="F346" s="12">
        <v>21.8</v>
      </c>
      <c r="G346" s="12">
        <v>88</v>
      </c>
    </row>
    <row r="347" spans="1:7" x14ac:dyDescent="0.35">
      <c r="A347" s="12" t="s">
        <v>86</v>
      </c>
      <c r="B347" s="13" t="s">
        <v>28</v>
      </c>
      <c r="C347" s="13" t="s">
        <v>29</v>
      </c>
      <c r="D347" s="12"/>
      <c r="E347" s="12"/>
      <c r="F347" s="12"/>
      <c r="G347" s="12"/>
    </row>
    <row r="348" spans="1:7" x14ac:dyDescent="0.35">
      <c r="A348" s="12" t="s">
        <v>86</v>
      </c>
      <c r="B348" s="13" t="s">
        <v>30</v>
      </c>
      <c r="C348" s="13" t="s">
        <v>31</v>
      </c>
      <c r="D348" s="12"/>
      <c r="E348" s="12"/>
      <c r="F348" s="12"/>
      <c r="G348" s="12"/>
    </row>
    <row r="349" spans="1:7" x14ac:dyDescent="0.35">
      <c r="A349" s="12" t="s">
        <v>86</v>
      </c>
      <c r="B349" s="13" t="s">
        <v>32</v>
      </c>
      <c r="C349" s="13" t="s">
        <v>33</v>
      </c>
      <c r="D349" s="15">
        <v>3107.9920000000002</v>
      </c>
      <c r="E349" s="15">
        <v>2546.0329999999999</v>
      </c>
      <c r="F349" s="15">
        <v>2025.0129999999999</v>
      </c>
      <c r="G349" s="12">
        <v>7679</v>
      </c>
    </row>
    <row r="350" spans="1:7" x14ac:dyDescent="0.35">
      <c r="A350" s="12" t="s">
        <v>86</v>
      </c>
      <c r="B350" s="13" t="s">
        <v>34</v>
      </c>
      <c r="C350" s="13" t="s">
        <v>35</v>
      </c>
      <c r="D350" s="12">
        <v>106.1</v>
      </c>
      <c r="E350" s="12">
        <v>299.5</v>
      </c>
      <c r="F350" s="12">
        <v>127.1</v>
      </c>
      <c r="G350" s="12">
        <v>532.70000000000005</v>
      </c>
    </row>
    <row r="351" spans="1:7" x14ac:dyDescent="0.35">
      <c r="A351" s="12" t="s">
        <v>86</v>
      </c>
      <c r="B351" s="13" t="s">
        <v>36</v>
      </c>
      <c r="C351" s="13" t="s">
        <v>37</v>
      </c>
      <c r="D351" s="12">
        <v>71.8</v>
      </c>
      <c r="E351" s="12">
        <v>202.4</v>
      </c>
      <c r="F351" s="12">
        <v>1.1000000000000001</v>
      </c>
      <c r="G351" s="12">
        <v>275.3</v>
      </c>
    </row>
    <row r="352" spans="1:7" x14ac:dyDescent="0.35">
      <c r="A352" s="12" t="s">
        <v>86</v>
      </c>
      <c r="B352" s="13" t="s">
        <v>38</v>
      </c>
      <c r="C352" s="13" t="s">
        <v>39</v>
      </c>
      <c r="D352" s="12">
        <v>197.7</v>
      </c>
      <c r="E352" s="12">
        <v>329.9</v>
      </c>
      <c r="F352" s="12">
        <v>94.3</v>
      </c>
      <c r="G352" s="12">
        <v>621.9</v>
      </c>
    </row>
    <row r="353" spans="1:7" x14ac:dyDescent="0.35">
      <c r="A353" s="12" t="s">
        <v>86</v>
      </c>
      <c r="B353" s="13" t="s">
        <v>40</v>
      </c>
      <c r="C353" s="13" t="s">
        <v>41</v>
      </c>
      <c r="D353" s="12">
        <v>1948</v>
      </c>
      <c r="E353" s="12"/>
      <c r="F353" s="12"/>
      <c r="G353" s="12">
        <v>1948</v>
      </c>
    </row>
    <row r="354" spans="1:7" x14ac:dyDescent="0.35">
      <c r="A354" s="12" t="s">
        <v>86</v>
      </c>
      <c r="B354" s="13" t="s">
        <v>42</v>
      </c>
      <c r="C354" s="13" t="s">
        <v>43</v>
      </c>
      <c r="D354" s="12">
        <v>1084.3</v>
      </c>
      <c r="E354" s="12">
        <v>1663.5</v>
      </c>
      <c r="F354" s="12">
        <v>2.9</v>
      </c>
      <c r="G354" s="12">
        <v>2750.7</v>
      </c>
    </row>
    <row r="355" spans="1:7" x14ac:dyDescent="0.35">
      <c r="A355" s="12" t="s">
        <v>86</v>
      </c>
      <c r="B355" s="13" t="s">
        <v>44</v>
      </c>
      <c r="C355" s="13" t="s">
        <v>45</v>
      </c>
      <c r="D355" s="12">
        <v>1742.2</v>
      </c>
      <c r="E355" s="12">
        <v>3193.3</v>
      </c>
      <c r="F355" s="12">
        <v>106</v>
      </c>
      <c r="G355" s="12">
        <v>5041.3999999999996</v>
      </c>
    </row>
    <row r="356" spans="1:7" x14ac:dyDescent="0.35">
      <c r="A356" s="12" t="s">
        <v>86</v>
      </c>
      <c r="B356" s="13" t="s">
        <v>46</v>
      </c>
      <c r="C356" s="13" t="s">
        <v>47</v>
      </c>
      <c r="D356" s="12">
        <v>381</v>
      </c>
      <c r="E356" s="12">
        <v>578</v>
      </c>
      <c r="F356" s="12">
        <v>303</v>
      </c>
      <c r="G356" s="12">
        <v>1262</v>
      </c>
    </row>
    <row r="357" spans="1:7" x14ac:dyDescent="0.35">
      <c r="A357" s="12" t="s">
        <v>86</v>
      </c>
      <c r="B357" s="13" t="s">
        <v>60</v>
      </c>
      <c r="C357" s="12" t="s">
        <v>61</v>
      </c>
      <c r="D357" s="12">
        <v>4820.3999999999996</v>
      </c>
      <c r="E357" s="12">
        <v>2218.5</v>
      </c>
      <c r="F357" s="12">
        <v>129</v>
      </c>
      <c r="G357" s="12">
        <v>7167.9</v>
      </c>
    </row>
    <row r="358" spans="1:7" x14ac:dyDescent="0.35">
      <c r="A358" s="12" t="s">
        <v>86</v>
      </c>
      <c r="B358" s="13" t="s">
        <v>48</v>
      </c>
      <c r="C358" s="13" t="s">
        <v>49</v>
      </c>
      <c r="D358" s="12">
        <v>1830.5</v>
      </c>
      <c r="E358" s="12">
        <v>4166.8</v>
      </c>
      <c r="F358" s="12">
        <v>1.3</v>
      </c>
      <c r="G358" s="12">
        <v>5998.7</v>
      </c>
    </row>
    <row r="359" spans="1:7" x14ac:dyDescent="0.35">
      <c r="A359" s="12" t="s">
        <v>86</v>
      </c>
      <c r="B359" s="12" t="s">
        <v>57</v>
      </c>
      <c r="C359" s="13" t="s">
        <v>58</v>
      </c>
      <c r="D359" s="12">
        <v>42</v>
      </c>
      <c r="E359" s="12">
        <v>311</v>
      </c>
      <c r="F359" s="12">
        <v>5</v>
      </c>
      <c r="G359" s="12">
        <v>358</v>
      </c>
    </row>
    <row r="360" spans="1:7" x14ac:dyDescent="0.35">
      <c r="A360" s="12" t="s">
        <v>86</v>
      </c>
      <c r="B360" s="13" t="s">
        <v>50</v>
      </c>
      <c r="C360" s="13" t="s">
        <v>51</v>
      </c>
      <c r="D360" s="12">
        <v>190.7</v>
      </c>
      <c r="E360" s="12">
        <v>686.2</v>
      </c>
      <c r="F360" s="12">
        <v>23.8</v>
      </c>
      <c r="G360" s="12">
        <v>900.7</v>
      </c>
    </row>
    <row r="361" spans="1:7" x14ac:dyDescent="0.35">
      <c r="A361" s="12" t="s">
        <v>86</v>
      </c>
      <c r="B361" s="13" t="s">
        <v>52</v>
      </c>
      <c r="C361" s="13" t="s">
        <v>53</v>
      </c>
      <c r="D361" s="12"/>
      <c r="E361" s="12">
        <v>657.9</v>
      </c>
      <c r="F361" s="12"/>
      <c r="G361" s="12">
        <v>657.9</v>
      </c>
    </row>
    <row r="362" spans="1:7" x14ac:dyDescent="0.35">
      <c r="A362" s="12" t="s">
        <v>86</v>
      </c>
      <c r="B362" s="13" t="s">
        <v>52</v>
      </c>
      <c r="C362" s="13" t="s">
        <v>54</v>
      </c>
      <c r="D362" s="14"/>
      <c r="E362" s="12"/>
      <c r="F362" s="12"/>
      <c r="G362" s="12"/>
    </row>
    <row r="363" spans="1:7" x14ac:dyDescent="0.35">
      <c r="A363" s="12" t="s">
        <v>86</v>
      </c>
      <c r="B363" s="13" t="s">
        <v>62</v>
      </c>
      <c r="C363" s="12" t="s">
        <v>63</v>
      </c>
      <c r="D363" s="12">
        <v>34.200000000000003</v>
      </c>
      <c r="E363" s="12">
        <v>75.099999999999994</v>
      </c>
      <c r="F363" s="12">
        <v>0</v>
      </c>
      <c r="G363" s="12">
        <v>109.3</v>
      </c>
    </row>
    <row r="364" spans="1:7" x14ac:dyDescent="0.35">
      <c r="A364" s="12" t="s">
        <v>86</v>
      </c>
      <c r="B364" s="13" t="s">
        <v>55</v>
      </c>
      <c r="C364" s="13" t="s">
        <v>56</v>
      </c>
      <c r="D364" s="12">
        <v>5303</v>
      </c>
      <c r="E364" s="12">
        <v>22548.5</v>
      </c>
      <c r="F364" s="12">
        <v>246.5</v>
      </c>
      <c r="G364" s="12">
        <v>28098</v>
      </c>
    </row>
    <row r="365" spans="1:7" x14ac:dyDescent="0.35">
      <c r="A365" s="12" t="s">
        <v>86</v>
      </c>
      <c r="B365" s="13" t="s">
        <v>6</v>
      </c>
      <c r="C365" s="13" t="s">
        <v>7</v>
      </c>
      <c r="D365" s="12">
        <v>568</v>
      </c>
      <c r="E365" s="12">
        <v>1748</v>
      </c>
      <c r="F365" s="12">
        <v>255</v>
      </c>
      <c r="G365" s="12">
        <v>2571</v>
      </c>
    </row>
    <row r="366" spans="1:7" x14ac:dyDescent="0.35">
      <c r="A366" s="12" t="s">
        <v>87</v>
      </c>
      <c r="B366" s="13" t="s">
        <v>8</v>
      </c>
      <c r="C366" s="13" t="s">
        <v>9</v>
      </c>
      <c r="D366" s="12">
        <v>1842.9</v>
      </c>
      <c r="E366" s="12"/>
      <c r="F366" s="12">
        <v>156.5</v>
      </c>
      <c r="G366" s="12">
        <v>1999.4</v>
      </c>
    </row>
    <row r="367" spans="1:7" x14ac:dyDescent="0.35">
      <c r="A367" s="12" t="s">
        <v>87</v>
      </c>
      <c r="B367" s="13" t="s">
        <v>8</v>
      </c>
      <c r="C367" s="12" t="s">
        <v>59</v>
      </c>
      <c r="D367" s="12"/>
      <c r="E367" s="12"/>
      <c r="F367" s="12"/>
      <c r="G367" s="12"/>
    </row>
    <row r="368" spans="1:7" x14ac:dyDescent="0.35">
      <c r="A368" s="12" t="s">
        <v>87</v>
      </c>
      <c r="B368" s="13" t="s">
        <v>10</v>
      </c>
      <c r="C368" s="13" t="s">
        <v>11</v>
      </c>
      <c r="D368" s="12">
        <v>86</v>
      </c>
      <c r="E368" s="12">
        <v>178.7</v>
      </c>
      <c r="F368" s="12">
        <v>9.3000000000000007</v>
      </c>
      <c r="G368" s="12">
        <v>273.89999999999998</v>
      </c>
    </row>
    <row r="369" spans="1:7" x14ac:dyDescent="0.35">
      <c r="A369" s="12" t="s">
        <v>87</v>
      </c>
      <c r="B369" s="13" t="s">
        <v>64</v>
      </c>
      <c r="C369" s="12" t="s">
        <v>65</v>
      </c>
      <c r="D369" s="12">
        <v>493.5</v>
      </c>
      <c r="E369" s="12">
        <v>3625.4</v>
      </c>
      <c r="F369" s="12">
        <v>5.7</v>
      </c>
      <c r="G369" s="12">
        <v>4124.6000000000004</v>
      </c>
    </row>
    <row r="370" spans="1:7" x14ac:dyDescent="0.35">
      <c r="A370" s="12" t="s">
        <v>87</v>
      </c>
      <c r="B370" s="13" t="s">
        <v>12</v>
      </c>
      <c r="C370" s="13" t="s">
        <v>13</v>
      </c>
      <c r="D370" s="12">
        <v>204.9</v>
      </c>
      <c r="E370" s="12">
        <v>469.5</v>
      </c>
      <c r="F370" s="12">
        <v>42.8</v>
      </c>
      <c r="G370" s="12">
        <v>717.2</v>
      </c>
    </row>
    <row r="371" spans="1:7" x14ac:dyDescent="0.35">
      <c r="A371" s="12" t="s">
        <v>87</v>
      </c>
      <c r="B371" s="13" t="s">
        <v>14</v>
      </c>
      <c r="C371" s="13" t="s">
        <v>15</v>
      </c>
      <c r="D371" s="12">
        <v>5132</v>
      </c>
      <c r="E371" s="12">
        <v>14722</v>
      </c>
      <c r="F371" s="12">
        <v>738</v>
      </c>
      <c r="G371" s="12">
        <v>20592</v>
      </c>
    </row>
    <row r="372" spans="1:7" x14ac:dyDescent="0.35">
      <c r="A372" s="12" t="s">
        <v>87</v>
      </c>
      <c r="B372" s="13" t="s">
        <v>16</v>
      </c>
      <c r="C372" s="13" t="s">
        <v>17</v>
      </c>
      <c r="D372" s="12">
        <v>595.1</v>
      </c>
      <c r="E372" s="12">
        <v>2277.3000000000002</v>
      </c>
      <c r="F372" s="12">
        <v>62.4</v>
      </c>
      <c r="G372" s="12">
        <v>2934.7</v>
      </c>
    </row>
    <row r="373" spans="1:7" x14ac:dyDescent="0.35">
      <c r="A373" s="12" t="s">
        <v>87</v>
      </c>
      <c r="B373" s="13" t="s">
        <v>18</v>
      </c>
      <c r="C373" s="13" t="s">
        <v>19</v>
      </c>
      <c r="D373" s="12">
        <v>166</v>
      </c>
      <c r="E373" s="12">
        <v>288</v>
      </c>
      <c r="F373" s="12">
        <v>0</v>
      </c>
      <c r="G373" s="12">
        <v>454</v>
      </c>
    </row>
    <row r="374" spans="1:7" x14ac:dyDescent="0.35">
      <c r="A374" s="12" t="s">
        <v>87</v>
      </c>
      <c r="B374" s="13" t="s">
        <v>20</v>
      </c>
      <c r="C374" s="13" t="s">
        <v>21</v>
      </c>
      <c r="D374" s="12">
        <v>1007.6</v>
      </c>
      <c r="E374" s="12">
        <v>800.7</v>
      </c>
      <c r="F374" s="12">
        <v>480</v>
      </c>
      <c r="G374" s="12">
        <v>2288.3000000000002</v>
      </c>
    </row>
    <row r="375" spans="1:7" x14ac:dyDescent="0.35">
      <c r="A375" s="12" t="s">
        <v>87</v>
      </c>
      <c r="B375" s="13" t="s">
        <v>20</v>
      </c>
      <c r="C375" s="13" t="s">
        <v>22</v>
      </c>
      <c r="D375" s="12"/>
      <c r="E375" s="12">
        <v>1277.5999999999999</v>
      </c>
      <c r="F375" s="12"/>
      <c r="G375" s="12">
        <v>1277.5999999999999</v>
      </c>
    </row>
    <row r="376" spans="1:7" x14ac:dyDescent="0.35">
      <c r="A376" s="12" t="s">
        <v>87</v>
      </c>
      <c r="B376" s="13" t="s">
        <v>66</v>
      </c>
      <c r="C376" s="12" t="s">
        <v>67</v>
      </c>
      <c r="D376" s="12">
        <v>800</v>
      </c>
      <c r="E376" s="12">
        <v>796</v>
      </c>
      <c r="F376" s="12">
        <v>0</v>
      </c>
      <c r="G376" s="12">
        <v>1596</v>
      </c>
    </row>
    <row r="377" spans="1:7" x14ac:dyDescent="0.35">
      <c r="A377" s="12" t="s">
        <v>87</v>
      </c>
      <c r="B377" s="13" t="s">
        <v>23</v>
      </c>
      <c r="C377" s="13" t="s">
        <v>24</v>
      </c>
      <c r="D377" s="12">
        <v>5086</v>
      </c>
      <c r="E377" s="12">
        <v>6742</v>
      </c>
      <c r="F377" s="12">
        <v>2174</v>
      </c>
      <c r="G377" s="12">
        <v>14002</v>
      </c>
    </row>
    <row r="378" spans="1:7" x14ac:dyDescent="0.35">
      <c r="A378" s="12" t="s">
        <v>87</v>
      </c>
      <c r="B378" s="13" t="s">
        <v>23</v>
      </c>
      <c r="C378" s="13" t="s">
        <v>25</v>
      </c>
      <c r="D378" s="12"/>
      <c r="E378" s="12">
        <v>3973</v>
      </c>
      <c r="F378" s="12"/>
      <c r="G378" s="12">
        <v>3973</v>
      </c>
    </row>
    <row r="379" spans="1:7" x14ac:dyDescent="0.35">
      <c r="A379" s="12" t="s">
        <v>87</v>
      </c>
      <c r="B379" s="13" t="s">
        <v>26</v>
      </c>
      <c r="C379" s="13" t="s">
        <v>27</v>
      </c>
      <c r="D379" s="12"/>
      <c r="E379" s="12"/>
      <c r="F379" s="12"/>
      <c r="G379" s="12"/>
    </row>
    <row r="380" spans="1:7" x14ac:dyDescent="0.35">
      <c r="A380" s="12" t="s">
        <v>87</v>
      </c>
      <c r="B380" s="13" t="s">
        <v>28</v>
      </c>
      <c r="C380" s="13" t="s">
        <v>29</v>
      </c>
      <c r="D380" s="12"/>
      <c r="E380" s="12"/>
      <c r="F380" s="12"/>
      <c r="G380" s="12"/>
    </row>
    <row r="381" spans="1:7" x14ac:dyDescent="0.35">
      <c r="A381" s="12" t="s">
        <v>87</v>
      </c>
      <c r="B381" s="13" t="s">
        <v>30</v>
      </c>
      <c r="C381" s="13" t="s">
        <v>31</v>
      </c>
      <c r="D381" s="12"/>
      <c r="E381" s="12"/>
      <c r="F381" s="12"/>
      <c r="G381" s="12"/>
    </row>
    <row r="382" spans="1:7" x14ac:dyDescent="0.35">
      <c r="A382" s="12" t="s">
        <v>87</v>
      </c>
      <c r="B382" s="13" t="s">
        <v>32</v>
      </c>
      <c r="C382" s="13" t="s">
        <v>33</v>
      </c>
      <c r="D382" s="12">
        <v>2934</v>
      </c>
      <c r="E382" s="12">
        <v>2345</v>
      </c>
      <c r="F382" s="12">
        <v>1989</v>
      </c>
      <c r="G382" s="12">
        <v>7268</v>
      </c>
    </row>
    <row r="383" spans="1:7" x14ac:dyDescent="0.35">
      <c r="A383" s="12" t="s">
        <v>87</v>
      </c>
      <c r="B383" s="13" t="s">
        <v>34</v>
      </c>
      <c r="C383" s="13" t="s">
        <v>35</v>
      </c>
      <c r="D383" s="12">
        <v>113.1</v>
      </c>
      <c r="E383" s="12">
        <v>267</v>
      </c>
      <c r="F383" s="12">
        <v>3.7</v>
      </c>
      <c r="G383" s="12">
        <v>383.8</v>
      </c>
    </row>
    <row r="384" spans="1:7" x14ac:dyDescent="0.35">
      <c r="A384" s="12" t="s">
        <v>87</v>
      </c>
      <c r="B384" s="13" t="s">
        <v>36</v>
      </c>
      <c r="C384" s="13" t="s">
        <v>37</v>
      </c>
      <c r="D384" s="12">
        <v>82.2</v>
      </c>
      <c r="E384" s="12">
        <v>198.5</v>
      </c>
      <c r="F384" s="12">
        <v>2.2000000000000002</v>
      </c>
      <c r="G384" s="12">
        <v>282.8</v>
      </c>
    </row>
    <row r="385" spans="1:7" x14ac:dyDescent="0.35">
      <c r="A385" s="12" t="s">
        <v>87</v>
      </c>
      <c r="B385" s="13" t="s">
        <v>38</v>
      </c>
      <c r="C385" s="13" t="s">
        <v>39</v>
      </c>
      <c r="D385" s="12">
        <v>239.9</v>
      </c>
      <c r="E385" s="12">
        <v>199.4</v>
      </c>
      <c r="F385" s="12">
        <v>87.8</v>
      </c>
      <c r="G385" s="12">
        <v>527.1</v>
      </c>
    </row>
    <row r="386" spans="1:7" x14ac:dyDescent="0.35">
      <c r="A386" s="12" t="s">
        <v>87</v>
      </c>
      <c r="B386" s="13" t="s">
        <v>40</v>
      </c>
      <c r="C386" s="13" t="s">
        <v>41</v>
      </c>
      <c r="D386" s="12">
        <v>2069</v>
      </c>
      <c r="E386" s="12"/>
      <c r="F386" s="12"/>
      <c r="G386" s="12">
        <v>2069</v>
      </c>
    </row>
    <row r="387" spans="1:7" x14ac:dyDescent="0.35">
      <c r="A387" s="12" t="s">
        <v>87</v>
      </c>
      <c r="B387" s="13" t="s">
        <v>42</v>
      </c>
      <c r="C387" s="13" t="s">
        <v>43</v>
      </c>
      <c r="D387" s="12">
        <v>1129.8</v>
      </c>
      <c r="E387" s="12">
        <v>1533.3</v>
      </c>
      <c r="F387" s="12">
        <v>6.2</v>
      </c>
      <c r="G387" s="12">
        <v>2669.3</v>
      </c>
    </row>
    <row r="388" spans="1:7" x14ac:dyDescent="0.35">
      <c r="A388" s="12" t="s">
        <v>87</v>
      </c>
      <c r="B388" s="13" t="s">
        <v>44</v>
      </c>
      <c r="C388" s="13" t="s">
        <v>45</v>
      </c>
      <c r="D388" s="12">
        <v>1344</v>
      </c>
      <c r="E388" s="12">
        <v>2262.5</v>
      </c>
      <c r="F388" s="12">
        <v>212.8</v>
      </c>
      <c r="G388" s="12">
        <v>3819.3</v>
      </c>
    </row>
    <row r="389" spans="1:7" x14ac:dyDescent="0.35">
      <c r="A389" s="12" t="s">
        <v>87</v>
      </c>
      <c r="B389" s="13" t="s">
        <v>46</v>
      </c>
      <c r="C389" s="13" t="s">
        <v>47</v>
      </c>
      <c r="D389" s="12">
        <v>224</v>
      </c>
      <c r="E389" s="12">
        <v>391</v>
      </c>
      <c r="F389" s="12">
        <v>265</v>
      </c>
      <c r="G389" s="12">
        <v>880</v>
      </c>
    </row>
    <row r="390" spans="1:7" x14ac:dyDescent="0.35">
      <c r="A390" s="12" t="s">
        <v>87</v>
      </c>
      <c r="B390" s="13" t="s">
        <v>60</v>
      </c>
      <c r="C390" s="12" t="s">
        <v>61</v>
      </c>
      <c r="D390" s="12">
        <v>6360.9</v>
      </c>
      <c r="E390" s="12">
        <v>2257.6999999999998</v>
      </c>
      <c r="F390" s="12">
        <v>44.2</v>
      </c>
      <c r="G390" s="12">
        <v>8662.7999999999993</v>
      </c>
    </row>
    <row r="391" spans="1:7" x14ac:dyDescent="0.35">
      <c r="A391" s="12" t="s">
        <v>87</v>
      </c>
      <c r="B391" s="13" t="s">
        <v>48</v>
      </c>
      <c r="C391" s="13" t="s">
        <v>49</v>
      </c>
      <c r="D391" s="12">
        <v>1823.1</v>
      </c>
      <c r="E391" s="12">
        <v>4061.9</v>
      </c>
      <c r="F391" s="12">
        <v>20.7</v>
      </c>
      <c r="G391" s="12">
        <v>5905.8</v>
      </c>
    </row>
    <row r="392" spans="1:7" x14ac:dyDescent="0.35">
      <c r="A392" s="12" t="s">
        <v>87</v>
      </c>
      <c r="B392" s="12" t="s">
        <v>57</v>
      </c>
      <c r="C392" s="13" t="s">
        <v>58</v>
      </c>
      <c r="D392" s="12">
        <v>35</v>
      </c>
      <c r="E392" s="12">
        <v>359</v>
      </c>
      <c r="F392" s="12">
        <v>31</v>
      </c>
      <c r="G392" s="12">
        <v>425</v>
      </c>
    </row>
    <row r="393" spans="1:7" x14ac:dyDescent="0.35">
      <c r="A393" s="12" t="s">
        <v>87</v>
      </c>
      <c r="B393" s="13" t="s">
        <v>50</v>
      </c>
      <c r="C393" s="13" t="s">
        <v>51</v>
      </c>
      <c r="D393" s="12">
        <v>185.4</v>
      </c>
      <c r="E393" s="12">
        <v>636.9</v>
      </c>
      <c r="F393" s="12">
        <v>25.3</v>
      </c>
      <c r="G393" s="12">
        <v>847.6</v>
      </c>
    </row>
    <row r="394" spans="1:7" x14ac:dyDescent="0.35">
      <c r="A394" s="12" t="s">
        <v>87</v>
      </c>
      <c r="B394" s="13" t="s">
        <v>52</v>
      </c>
      <c r="C394" s="13" t="s">
        <v>53</v>
      </c>
      <c r="D394" s="12"/>
      <c r="E394" s="12">
        <v>560.20000000000005</v>
      </c>
      <c r="F394" s="12"/>
      <c r="G394" s="12"/>
    </row>
    <row r="395" spans="1:7" x14ac:dyDescent="0.35">
      <c r="A395" s="12" t="s">
        <v>87</v>
      </c>
      <c r="B395" s="13" t="s">
        <v>52</v>
      </c>
      <c r="C395" s="13" t="s">
        <v>54</v>
      </c>
      <c r="D395" s="12">
        <v>224.9</v>
      </c>
      <c r="E395" s="12">
        <v>126.1</v>
      </c>
      <c r="F395" s="12">
        <v>0</v>
      </c>
      <c r="G395" s="12">
        <v>351</v>
      </c>
    </row>
    <row r="396" spans="1:7" x14ac:dyDescent="0.35">
      <c r="A396" s="12" t="s">
        <v>87</v>
      </c>
      <c r="B396" s="13" t="s">
        <v>62</v>
      </c>
      <c r="C396" s="12" t="s">
        <v>63</v>
      </c>
      <c r="D396" s="12"/>
      <c r="E396" s="12"/>
      <c r="F396" s="12"/>
      <c r="G396" s="12"/>
    </row>
    <row r="397" spans="1:7" x14ac:dyDescent="0.35">
      <c r="A397" s="12" t="s">
        <v>87</v>
      </c>
      <c r="B397" s="13" t="s">
        <v>55</v>
      </c>
      <c r="C397" s="13" t="s">
        <v>56</v>
      </c>
      <c r="D397" s="12">
        <v>4603.7</v>
      </c>
      <c r="E397" s="12">
        <v>18199.8</v>
      </c>
      <c r="F397" s="12">
        <v>168.1</v>
      </c>
      <c r="G397" s="12">
        <v>22971.599999999999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C936-EDF3-449D-BD49-13B147E6800D}">
  <dimension ref="A3:E33"/>
  <sheetViews>
    <sheetView topLeftCell="B1" workbookViewId="0">
      <selection activeCell="N24" sqref="N24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36783</v>
      </c>
      <c r="C4" s="8">
        <v>68548.5</v>
      </c>
      <c r="D4" s="8">
        <v>6524.7</v>
      </c>
      <c r="E4" s="8">
        <v>111295.80000000002</v>
      </c>
    </row>
    <row r="5" spans="1:5" x14ac:dyDescent="0.35">
      <c r="A5" s="3" t="s">
        <v>86</v>
      </c>
      <c r="B5" s="8">
        <v>38765.891999999993</v>
      </c>
      <c r="C5" s="8">
        <v>83692.833000000013</v>
      </c>
      <c r="D5" s="8">
        <v>6618.2130000000006</v>
      </c>
      <c r="E5" s="8">
        <v>129077.19999999997</v>
      </c>
    </row>
    <row r="6" spans="1:5" x14ac:dyDescent="0.35">
      <c r="A6" s="3" t="s">
        <v>85</v>
      </c>
      <c r="B6" s="8">
        <v>39861.145206205591</v>
      </c>
      <c r="C6" s="8">
        <v>89259.064098361036</v>
      </c>
      <c r="D6" s="8">
        <v>9719.1351761585283</v>
      </c>
      <c r="E6" s="8">
        <v>138839.34448072515</v>
      </c>
    </row>
    <row r="7" spans="1:5" x14ac:dyDescent="0.35">
      <c r="A7" s="3" t="s">
        <v>84</v>
      </c>
      <c r="B7" s="8">
        <v>43522.499999999993</v>
      </c>
      <c r="C7" s="8">
        <v>103145.9</v>
      </c>
      <c r="D7" s="8">
        <v>9186.3000000000011</v>
      </c>
      <c r="E7" s="8">
        <v>155854.70000000001</v>
      </c>
    </row>
    <row r="8" spans="1:5" x14ac:dyDescent="0.35">
      <c r="A8" s="3" t="s">
        <v>83</v>
      </c>
      <c r="B8" s="8">
        <v>46149.3</v>
      </c>
      <c r="C8" s="8">
        <v>108497.69999999998</v>
      </c>
      <c r="D8" s="8">
        <v>6671.9999999999991</v>
      </c>
      <c r="E8" s="8">
        <v>161319</v>
      </c>
    </row>
    <row r="9" spans="1:5" x14ac:dyDescent="0.35">
      <c r="A9" s="3" t="s">
        <v>82</v>
      </c>
      <c r="B9" s="8">
        <v>46881.499999999993</v>
      </c>
      <c r="C9" s="8">
        <v>113096.10000000002</v>
      </c>
      <c r="D9" s="8">
        <v>6133.7</v>
      </c>
      <c r="E9" s="8">
        <v>166111.30000000002</v>
      </c>
    </row>
    <row r="10" spans="1:5" x14ac:dyDescent="0.35">
      <c r="A10" s="3" t="s">
        <v>81</v>
      </c>
      <c r="B10" s="8">
        <v>51462.729999999996</v>
      </c>
      <c r="C10" s="8">
        <v>120611.55999999998</v>
      </c>
      <c r="D10" s="8">
        <v>7417.5</v>
      </c>
      <c r="E10" s="8">
        <v>179491.79</v>
      </c>
    </row>
    <row r="11" spans="1:5" x14ac:dyDescent="0.35">
      <c r="A11" s="3" t="s">
        <v>80</v>
      </c>
      <c r="B11" s="8">
        <v>39726.700000000004</v>
      </c>
      <c r="C11" s="8">
        <v>77126.45</v>
      </c>
      <c r="D11" s="8">
        <v>5091.17</v>
      </c>
      <c r="E11" s="8">
        <v>121944.32000000001</v>
      </c>
    </row>
    <row r="12" spans="1:5" x14ac:dyDescent="0.35">
      <c r="A12" s="3" t="s">
        <v>79</v>
      </c>
      <c r="B12" s="8">
        <v>46449.693664122125</v>
      </c>
      <c r="C12" s="8">
        <v>105371.45124798329</v>
      </c>
      <c r="D12" s="8">
        <v>6159.5466888810943</v>
      </c>
      <c r="E12" s="8">
        <v>157980.69160098652</v>
      </c>
    </row>
    <row r="13" spans="1:5" x14ac:dyDescent="0.35">
      <c r="A13" s="3" t="s">
        <v>78</v>
      </c>
      <c r="B13" s="8">
        <v>48048.880000000005</v>
      </c>
      <c r="C13" s="8">
        <v>112877.56</v>
      </c>
      <c r="D13" s="8">
        <v>6440.5299999999979</v>
      </c>
      <c r="E13" s="8">
        <v>167366.97</v>
      </c>
    </row>
    <row r="14" spans="1:5" x14ac:dyDescent="0.35">
      <c r="A14" s="3" t="s">
        <v>77</v>
      </c>
      <c r="B14" s="8">
        <v>50846.216140743651</v>
      </c>
      <c r="C14" s="8">
        <v>125448.09426128994</v>
      </c>
      <c r="D14" s="8">
        <v>5083.8457127013526</v>
      </c>
      <c r="E14" s="8">
        <v>181369.82706251057</v>
      </c>
    </row>
    <row r="15" spans="1:5" x14ac:dyDescent="0.35">
      <c r="A15" s="3" t="s">
        <v>76</v>
      </c>
      <c r="B15" s="8">
        <v>50609</v>
      </c>
      <c r="C15" s="8">
        <v>136251</v>
      </c>
      <c r="D15" s="8">
        <v>4719</v>
      </c>
      <c r="E15" s="8">
        <v>191579</v>
      </c>
    </row>
    <row r="16" spans="1:5" x14ac:dyDescent="0.35">
      <c r="A16" s="3" t="s">
        <v>70</v>
      </c>
      <c r="B16" s="8">
        <v>539106.55701107136</v>
      </c>
      <c r="C16" s="8">
        <v>1243926.2126076343</v>
      </c>
      <c r="D16" s="8">
        <v>79765.640577740967</v>
      </c>
      <c r="E16" s="8">
        <v>1862229.9431442225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0.22092872929385782</v>
      </c>
      <c r="C21" s="9">
        <f t="shared" ref="C21:C31" si="1">(E5-E4)/E4</f>
        <v>0.15976703523403352</v>
      </c>
    </row>
    <row r="22" spans="1:5" x14ac:dyDescent="0.35">
      <c r="A22" s="3" t="s">
        <v>85</v>
      </c>
      <c r="B22" s="9">
        <f t="shared" si="0"/>
        <v>6.6507858544602283E-2</v>
      </c>
      <c r="C22" s="9">
        <f t="shared" si="1"/>
        <v>7.5630277699897316E-2</v>
      </c>
    </row>
    <row r="23" spans="1:5" x14ac:dyDescent="0.35">
      <c r="A23" s="3" t="s">
        <v>84</v>
      </c>
      <c r="B23" s="9">
        <f t="shared" si="0"/>
        <v>0.15557899964463046</v>
      </c>
      <c r="C23" s="9">
        <f t="shared" si="1"/>
        <v>0.12255427726855248</v>
      </c>
    </row>
    <row r="24" spans="1:5" x14ac:dyDescent="0.35">
      <c r="A24" s="3" t="s">
        <v>83</v>
      </c>
      <c r="B24" s="9">
        <f t="shared" si="0"/>
        <v>5.1885726916920484E-2</v>
      </c>
      <c r="C24" s="9">
        <f t="shared" si="1"/>
        <v>3.5060219550645491E-2</v>
      </c>
    </row>
    <row r="25" spans="1:5" x14ac:dyDescent="0.35">
      <c r="A25" s="3" t="s">
        <v>82</v>
      </c>
      <c r="B25" s="9">
        <f t="shared" si="0"/>
        <v>4.23824652504158E-2</v>
      </c>
      <c r="C25" s="9">
        <f t="shared" si="1"/>
        <v>2.9706978099294054E-2</v>
      </c>
    </row>
    <row r="26" spans="1:5" x14ac:dyDescent="0.35">
      <c r="A26" s="3" t="s">
        <v>81</v>
      </c>
      <c r="B26" s="9">
        <f t="shared" si="0"/>
        <v>6.64519819870001E-2</v>
      </c>
      <c r="C26" s="9">
        <f t="shared" si="1"/>
        <v>8.0551353219196944E-2</v>
      </c>
    </row>
    <row r="27" spans="1:5" x14ac:dyDescent="0.35">
      <c r="A27" s="3" t="s">
        <v>80</v>
      </c>
      <c r="B27" s="9">
        <f t="shared" si="0"/>
        <v>-0.3605384923302542</v>
      </c>
      <c r="C27" s="9">
        <f t="shared" si="1"/>
        <v>-0.32061338292965935</v>
      </c>
    </row>
    <row r="28" spans="1:5" x14ac:dyDescent="0.35">
      <c r="A28" s="3" t="s">
        <v>79</v>
      </c>
      <c r="B28" s="9">
        <f t="shared" si="0"/>
        <v>0.36621679395308998</v>
      </c>
      <c r="C28" s="9">
        <f t="shared" si="1"/>
        <v>0.2955149661828162</v>
      </c>
    </row>
    <row r="29" spans="1:5" x14ac:dyDescent="0.35">
      <c r="A29" s="3" t="s">
        <v>78</v>
      </c>
      <c r="B29" s="9">
        <f t="shared" si="0"/>
        <v>7.1234747771971738E-2</v>
      </c>
      <c r="C29" s="9">
        <f t="shared" si="1"/>
        <v>5.9414086011982392E-2</v>
      </c>
    </row>
    <row r="30" spans="1:5" x14ac:dyDescent="0.35">
      <c r="A30" s="3" t="s">
        <v>77</v>
      </c>
      <c r="B30" s="9">
        <f t="shared" si="0"/>
        <v>0.11136433371956252</v>
      </c>
      <c r="C30" s="9">
        <f t="shared" si="1"/>
        <v>8.366559460633459E-2</v>
      </c>
    </row>
    <row r="31" spans="1:5" x14ac:dyDescent="0.35">
      <c r="A31" s="3" t="s">
        <v>76</v>
      </c>
      <c r="B31" s="9">
        <f t="shared" si="0"/>
        <v>8.6114546437104075E-2</v>
      </c>
      <c r="C31" s="9">
        <f t="shared" si="1"/>
        <v>5.6289257716338678E-2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E97B-EF1E-4D2E-A7B5-15EAD1750F45}">
  <dimension ref="A3:AE47"/>
  <sheetViews>
    <sheetView topLeftCell="A21" zoomScale="58" workbookViewId="0">
      <selection activeCell="A25" sqref="A25"/>
    </sheetView>
  </sheetViews>
  <sheetFormatPr defaultColWidth="10.90625" defaultRowHeight="14.5" x14ac:dyDescent="0.35"/>
  <cols>
    <col min="1" max="1" width="20.26953125" bestFit="1" customWidth="1"/>
    <col min="2" max="2" width="22.81640625" bestFit="1" customWidth="1"/>
    <col min="3" max="17" width="12" bestFit="1" customWidth="1"/>
    <col min="18" max="18" width="6" bestFit="1" customWidth="1"/>
    <col min="19" max="29" width="12" bestFit="1" customWidth="1"/>
    <col min="30" max="30" width="8" bestFit="1" customWidth="1"/>
    <col min="31" max="31" width="12.54296875" bestFit="1" customWidth="1"/>
  </cols>
  <sheetData>
    <row r="3" spans="1:31" x14ac:dyDescent="0.35">
      <c r="A3" s="2" t="s">
        <v>74</v>
      </c>
      <c r="B3" s="2" t="s">
        <v>72</v>
      </c>
    </row>
    <row r="4" spans="1:31" x14ac:dyDescent="0.35">
      <c r="A4" s="2" t="s">
        <v>69</v>
      </c>
      <c r="B4" t="s">
        <v>55</v>
      </c>
      <c r="C4" t="s">
        <v>23</v>
      </c>
      <c r="D4" t="s">
        <v>14</v>
      </c>
      <c r="E4" t="s">
        <v>32</v>
      </c>
      <c r="F4" t="s">
        <v>44</v>
      </c>
      <c r="G4" t="s">
        <v>48</v>
      </c>
      <c r="H4" t="s">
        <v>20</v>
      </c>
      <c r="I4" t="s">
        <v>60</v>
      </c>
      <c r="J4" t="s">
        <v>8</v>
      </c>
      <c r="K4" t="s">
        <v>16</v>
      </c>
      <c r="L4" t="s">
        <v>42</v>
      </c>
      <c r="M4" t="s">
        <v>6</v>
      </c>
      <c r="N4" t="s">
        <v>64</v>
      </c>
      <c r="O4" t="s">
        <v>52</v>
      </c>
      <c r="P4" t="s">
        <v>12</v>
      </c>
      <c r="Q4" t="s">
        <v>46</v>
      </c>
      <c r="R4" t="s">
        <v>40</v>
      </c>
      <c r="S4" t="s">
        <v>50</v>
      </c>
      <c r="T4" t="s">
        <v>34</v>
      </c>
      <c r="U4" t="s">
        <v>30</v>
      </c>
      <c r="V4" t="s">
        <v>66</v>
      </c>
      <c r="W4" t="s">
        <v>38</v>
      </c>
      <c r="X4" t="s">
        <v>18</v>
      </c>
      <c r="Y4" t="s">
        <v>57</v>
      </c>
      <c r="Z4" t="s">
        <v>10</v>
      </c>
      <c r="AA4" t="s">
        <v>36</v>
      </c>
      <c r="AB4" t="s">
        <v>28</v>
      </c>
      <c r="AC4" t="s">
        <v>26</v>
      </c>
      <c r="AD4" t="s">
        <v>62</v>
      </c>
      <c r="AE4" t="s">
        <v>70</v>
      </c>
    </row>
    <row r="5" spans="1:31" x14ac:dyDescent="0.35">
      <c r="A5" s="3" t="s">
        <v>87</v>
      </c>
      <c r="B5">
        <v>22971.599999999999</v>
      </c>
      <c r="C5">
        <v>17975</v>
      </c>
      <c r="D5">
        <v>20592</v>
      </c>
      <c r="E5">
        <v>7268</v>
      </c>
      <c r="F5">
        <v>3819.3</v>
      </c>
      <c r="G5">
        <v>5905.8</v>
      </c>
      <c r="H5">
        <v>3565.9</v>
      </c>
      <c r="I5">
        <v>8662.7999999999993</v>
      </c>
      <c r="J5">
        <v>1999.4</v>
      </c>
      <c r="K5">
        <v>2934.7</v>
      </c>
      <c r="L5">
        <v>2669.3</v>
      </c>
      <c r="N5">
        <v>4124.6000000000004</v>
      </c>
      <c r="O5">
        <v>351</v>
      </c>
      <c r="P5">
        <v>717.2</v>
      </c>
      <c r="Q5">
        <v>880</v>
      </c>
      <c r="R5">
        <v>2069</v>
      </c>
      <c r="S5">
        <v>847.6</v>
      </c>
      <c r="T5">
        <v>383.8</v>
      </c>
      <c r="V5">
        <v>1596</v>
      </c>
      <c r="W5">
        <v>527.1</v>
      </c>
      <c r="X5">
        <v>454</v>
      </c>
      <c r="Y5">
        <v>425</v>
      </c>
      <c r="Z5">
        <v>273.89999999999998</v>
      </c>
      <c r="AA5">
        <v>282.8</v>
      </c>
      <c r="AE5">
        <v>111295.80000000002</v>
      </c>
    </row>
    <row r="6" spans="1:31" x14ac:dyDescent="0.35">
      <c r="A6" s="3" t="s">
        <v>86</v>
      </c>
      <c r="B6">
        <v>28098</v>
      </c>
      <c r="C6">
        <v>18589.400000000001</v>
      </c>
      <c r="D6">
        <v>23720</v>
      </c>
      <c r="E6">
        <v>7679</v>
      </c>
      <c r="F6">
        <v>5041.3999999999996</v>
      </c>
      <c r="G6">
        <v>5998.7</v>
      </c>
      <c r="H6">
        <v>4513.6000000000004</v>
      </c>
      <c r="I6">
        <v>7167.9</v>
      </c>
      <c r="J6">
        <v>3248.4</v>
      </c>
      <c r="K6">
        <v>2812.5</v>
      </c>
      <c r="L6">
        <v>2750.7</v>
      </c>
      <c r="M6">
        <v>5239</v>
      </c>
      <c r="N6">
        <v>4211.3999999999996</v>
      </c>
      <c r="O6">
        <v>657.9</v>
      </c>
      <c r="P6">
        <v>793.3</v>
      </c>
      <c r="Q6">
        <v>1262</v>
      </c>
      <c r="R6">
        <v>1948</v>
      </c>
      <c r="S6">
        <v>900.7</v>
      </c>
      <c r="T6">
        <v>532.70000000000005</v>
      </c>
      <c r="V6">
        <v>1732</v>
      </c>
      <c r="W6">
        <v>621.9</v>
      </c>
      <c r="X6">
        <v>427</v>
      </c>
      <c r="Y6">
        <v>358</v>
      </c>
      <c r="Z6">
        <v>301.10000000000002</v>
      </c>
      <c r="AA6">
        <v>275.3</v>
      </c>
      <c r="AC6">
        <v>88</v>
      </c>
      <c r="AD6">
        <v>109.3</v>
      </c>
      <c r="AE6">
        <v>129077.19999999998</v>
      </c>
    </row>
    <row r="7" spans="1:31" x14ac:dyDescent="0.35">
      <c r="A7" s="3" t="s">
        <v>85</v>
      </c>
      <c r="B7">
        <v>34748.595196080314</v>
      </c>
      <c r="C7">
        <v>20961.02560419192</v>
      </c>
      <c r="D7">
        <v>23082.906884276421</v>
      </c>
      <c r="E7">
        <v>7938.9482800458509</v>
      </c>
      <c r="F7">
        <v>5459.7647343193412</v>
      </c>
      <c r="G7">
        <v>6464.1878839446472</v>
      </c>
      <c r="H7">
        <v>5683.0731769780523</v>
      </c>
      <c r="I7">
        <v>3112.5864342092386</v>
      </c>
      <c r="J7">
        <v>3497.3082557398138</v>
      </c>
      <c r="K7">
        <v>3585.1440018072494</v>
      </c>
      <c r="L7">
        <v>2378.4168748676429</v>
      </c>
      <c r="M7">
        <v>2935.0246966689588</v>
      </c>
      <c r="N7">
        <v>4524.5833301835837</v>
      </c>
      <c r="O7">
        <v>3270.8018585388008</v>
      </c>
      <c r="P7">
        <v>932.76797373197462</v>
      </c>
      <c r="Q7">
        <v>1293.0044953152935</v>
      </c>
      <c r="R7">
        <v>2727</v>
      </c>
      <c r="S7">
        <v>930.26908808601956</v>
      </c>
      <c r="T7">
        <v>461.00057236265474</v>
      </c>
      <c r="U7">
        <v>668.39041028555073</v>
      </c>
      <c r="V7">
        <v>1913.9851061707318</v>
      </c>
      <c r="W7">
        <v>689.98714876627298</v>
      </c>
      <c r="X7">
        <v>445.99536232054481</v>
      </c>
      <c r="Y7">
        <v>377.9932735119325</v>
      </c>
      <c r="Z7">
        <v>343.24766462517096</v>
      </c>
      <c r="AA7">
        <v>328.50425166262545</v>
      </c>
      <c r="AB7">
        <v>0</v>
      </c>
      <c r="AC7">
        <v>84.831922034561089</v>
      </c>
      <c r="AD7">
        <v>0</v>
      </c>
      <c r="AE7">
        <v>138839.34448072518</v>
      </c>
    </row>
    <row r="8" spans="1:31" x14ac:dyDescent="0.35">
      <c r="A8" s="3" t="s">
        <v>84</v>
      </c>
      <c r="B8">
        <v>38397.5</v>
      </c>
      <c r="C8">
        <v>22967.200000000001</v>
      </c>
      <c r="D8">
        <v>25633</v>
      </c>
      <c r="E8">
        <v>8977.9</v>
      </c>
      <c r="F8">
        <v>6427.2000000000007</v>
      </c>
      <c r="G8">
        <v>7537.5999999999995</v>
      </c>
      <c r="H8">
        <v>6401.3</v>
      </c>
      <c r="I8">
        <v>3507.9999999999995</v>
      </c>
      <c r="J8">
        <v>4329.6000000000004</v>
      </c>
      <c r="K8">
        <v>4281.3999999999996</v>
      </c>
      <c r="L8">
        <v>2737.5</v>
      </c>
      <c r="M8">
        <v>3172</v>
      </c>
      <c r="N8">
        <v>4667.7</v>
      </c>
      <c r="O8">
        <v>3873.1</v>
      </c>
      <c r="P8">
        <v>1187.3</v>
      </c>
      <c r="Q8">
        <v>1493</v>
      </c>
      <c r="R8">
        <v>2727</v>
      </c>
      <c r="S8">
        <v>1069.3</v>
      </c>
      <c r="T8">
        <v>762</v>
      </c>
      <c r="U8">
        <v>753.1</v>
      </c>
      <c r="V8">
        <v>2161</v>
      </c>
      <c r="W8">
        <v>781.60000000000014</v>
      </c>
      <c r="X8">
        <v>567</v>
      </c>
      <c r="Y8">
        <v>599.80000000000007</v>
      </c>
      <c r="Z8">
        <v>373.6</v>
      </c>
      <c r="AA8">
        <v>342.1</v>
      </c>
      <c r="AB8">
        <v>0</v>
      </c>
      <c r="AC8">
        <v>126.89999999999999</v>
      </c>
      <c r="AD8">
        <v>0</v>
      </c>
      <c r="AE8">
        <v>155854.70000000001</v>
      </c>
    </row>
    <row r="9" spans="1:31" x14ac:dyDescent="0.35">
      <c r="A9" s="3" t="s">
        <v>83</v>
      </c>
      <c r="B9">
        <v>39060.699999999997</v>
      </c>
      <c r="C9">
        <v>24489.599999999999</v>
      </c>
      <c r="D9">
        <v>25510</v>
      </c>
      <c r="E9">
        <v>9606</v>
      </c>
      <c r="F9">
        <v>7323.9000000000005</v>
      </c>
      <c r="G9">
        <v>8311.9</v>
      </c>
      <c r="H9">
        <v>7669.5</v>
      </c>
      <c r="I9">
        <v>6242.1</v>
      </c>
      <c r="J9">
        <v>4299.3999999999996</v>
      </c>
      <c r="K9">
        <v>4583.4000000000005</v>
      </c>
      <c r="L9">
        <v>3291.3</v>
      </c>
      <c r="M9">
        <v>3366.2</v>
      </c>
      <c r="N9">
        <v>4706.5999999999995</v>
      </c>
      <c r="O9">
        <v>4029.3</v>
      </c>
      <c r="P9">
        <v>1180.8</v>
      </c>
      <c r="Q9">
        <v>1563</v>
      </c>
      <c r="R9">
        <v>0</v>
      </c>
      <c r="S9">
        <v>1125</v>
      </c>
      <c r="T9">
        <v>810</v>
      </c>
      <c r="U9">
        <v>897.8</v>
      </c>
      <c r="W9">
        <v>886.4</v>
      </c>
      <c r="X9">
        <v>628</v>
      </c>
      <c r="Y9">
        <v>659.59999999999991</v>
      </c>
      <c r="Z9">
        <v>422.2</v>
      </c>
      <c r="AA9">
        <v>390.3</v>
      </c>
      <c r="AB9">
        <v>0</v>
      </c>
      <c r="AC9">
        <v>266</v>
      </c>
      <c r="AD9">
        <v>0</v>
      </c>
      <c r="AE9">
        <v>161319</v>
      </c>
    </row>
    <row r="10" spans="1:31" x14ac:dyDescent="0.35">
      <c r="A10" s="3" t="s">
        <v>82</v>
      </c>
      <c r="B10">
        <v>38497</v>
      </c>
      <c r="C10">
        <v>27059</v>
      </c>
      <c r="D10">
        <v>23972</v>
      </c>
      <c r="E10">
        <v>15651.4</v>
      </c>
      <c r="F10">
        <v>9130.9</v>
      </c>
      <c r="G10">
        <v>5659.7999999999993</v>
      </c>
      <c r="H10">
        <v>7842.2000000000007</v>
      </c>
      <c r="I10">
        <v>0</v>
      </c>
      <c r="J10">
        <v>4512.2</v>
      </c>
      <c r="K10">
        <v>4473.3999999999996</v>
      </c>
      <c r="L10">
        <v>3412.3</v>
      </c>
      <c r="M10">
        <v>3876.7</v>
      </c>
      <c r="N10">
        <v>4529.8999999999996</v>
      </c>
      <c r="O10">
        <v>3261.6</v>
      </c>
      <c r="P10">
        <v>2178.9</v>
      </c>
      <c r="Q10">
        <v>1845</v>
      </c>
      <c r="R10">
        <v>3459</v>
      </c>
      <c r="S10">
        <v>1176.4000000000001</v>
      </c>
      <c r="T10">
        <v>1019</v>
      </c>
      <c r="U10">
        <v>1038.5999999999999</v>
      </c>
      <c r="W10">
        <v>895.1</v>
      </c>
      <c r="X10">
        <v>663</v>
      </c>
      <c r="Y10">
        <v>686.59999999999991</v>
      </c>
      <c r="Z10">
        <v>512.6</v>
      </c>
      <c r="AA10">
        <v>602</v>
      </c>
      <c r="AB10">
        <v>0</v>
      </c>
      <c r="AC10">
        <v>156.69999999999999</v>
      </c>
      <c r="AD10">
        <v>0</v>
      </c>
      <c r="AE10">
        <v>166111.29999999999</v>
      </c>
    </row>
    <row r="11" spans="1:31" x14ac:dyDescent="0.35">
      <c r="A11" s="3" t="s">
        <v>81</v>
      </c>
      <c r="B11">
        <v>40621.78</v>
      </c>
      <c r="C11">
        <v>29476.3</v>
      </c>
      <c r="D11">
        <v>26818</v>
      </c>
      <c r="E11">
        <v>14293.29</v>
      </c>
      <c r="F11">
        <v>9014.19</v>
      </c>
      <c r="G11">
        <v>6906.77</v>
      </c>
      <c r="H11">
        <v>9142.65</v>
      </c>
      <c r="I11">
        <v>9900.32</v>
      </c>
      <c r="J11">
        <v>4717.7800000000007</v>
      </c>
      <c r="K11">
        <v>4659.41</v>
      </c>
      <c r="L11">
        <v>3315.4300000000003</v>
      </c>
      <c r="M11">
        <v>4424.47</v>
      </c>
      <c r="N11">
        <v>5090.9799999999996</v>
      </c>
      <c r="O11">
        <v>1236.1199999999999</v>
      </c>
      <c r="P11">
        <v>1883.54</v>
      </c>
      <c r="Q11">
        <v>1816</v>
      </c>
      <c r="R11">
        <v>0</v>
      </c>
      <c r="S11">
        <v>1262.9199999999998</v>
      </c>
      <c r="T11">
        <v>975</v>
      </c>
      <c r="U11">
        <v>1170.29</v>
      </c>
      <c r="W11">
        <v>0</v>
      </c>
      <c r="X11">
        <v>626</v>
      </c>
      <c r="Y11">
        <v>678.22</v>
      </c>
      <c r="Z11">
        <v>575.77</v>
      </c>
      <c r="AA11">
        <v>412</v>
      </c>
      <c r="AB11">
        <v>0</v>
      </c>
      <c r="AC11">
        <v>197.53</v>
      </c>
      <c r="AD11">
        <v>277.02999999999997</v>
      </c>
      <c r="AE11">
        <v>179491.78999999998</v>
      </c>
    </row>
    <row r="12" spans="1:31" x14ac:dyDescent="0.35">
      <c r="A12" s="3" t="s">
        <v>80</v>
      </c>
      <c r="B12">
        <v>28616.83</v>
      </c>
      <c r="C12">
        <v>23629</v>
      </c>
      <c r="D12">
        <v>12024</v>
      </c>
      <c r="E12">
        <v>9630</v>
      </c>
      <c r="F12">
        <v>6743.4</v>
      </c>
      <c r="G12">
        <v>6322.1599999999989</v>
      </c>
      <c r="H12">
        <v>5217.57</v>
      </c>
      <c r="I12">
        <v>7430.09</v>
      </c>
      <c r="J12">
        <v>3858.43</v>
      </c>
      <c r="K12">
        <v>2772.38</v>
      </c>
      <c r="L12">
        <v>2649.14</v>
      </c>
      <c r="M12">
        <v>3695.51</v>
      </c>
      <c r="O12">
        <v>1612.3999999999999</v>
      </c>
      <c r="P12">
        <v>1498.72</v>
      </c>
      <c r="Q12">
        <v>1393</v>
      </c>
      <c r="R12">
        <v>0</v>
      </c>
      <c r="S12">
        <v>981</v>
      </c>
      <c r="T12">
        <v>609</v>
      </c>
      <c r="U12">
        <v>743.38</v>
      </c>
      <c r="W12">
        <v>0</v>
      </c>
      <c r="X12">
        <v>424</v>
      </c>
      <c r="Y12">
        <v>516.4</v>
      </c>
      <c r="Z12">
        <v>420.22999999999996</v>
      </c>
      <c r="AA12">
        <v>229</v>
      </c>
      <c r="AB12">
        <v>413.88999999999993</v>
      </c>
      <c r="AC12">
        <v>221.16</v>
      </c>
      <c r="AD12">
        <v>293.63</v>
      </c>
      <c r="AE12">
        <v>121944.31999999999</v>
      </c>
    </row>
    <row r="13" spans="1:31" x14ac:dyDescent="0.35">
      <c r="A13" s="3" t="s">
        <v>79</v>
      </c>
      <c r="B13">
        <v>38218.46</v>
      </c>
      <c r="C13">
        <v>28819</v>
      </c>
      <c r="D13">
        <v>13256</v>
      </c>
      <c r="E13">
        <v>14528</v>
      </c>
      <c r="F13">
        <v>8936.369999999999</v>
      </c>
      <c r="G13">
        <v>8586.6616009865284</v>
      </c>
      <c r="H13">
        <v>7535.66</v>
      </c>
      <c r="I13">
        <v>10552.74</v>
      </c>
      <c r="J13">
        <v>4213.26</v>
      </c>
      <c r="K13">
        <v>3181.32</v>
      </c>
      <c r="L13">
        <v>3348.98</v>
      </c>
      <c r="M13">
        <v>3872.4800000000005</v>
      </c>
      <c r="O13">
        <v>2343.36</v>
      </c>
      <c r="P13">
        <v>1791.6</v>
      </c>
      <c r="Q13">
        <v>1498</v>
      </c>
      <c r="R13">
        <v>0</v>
      </c>
      <c r="S13">
        <v>1151</v>
      </c>
      <c r="T13">
        <v>1050</v>
      </c>
      <c r="U13">
        <v>976.81</v>
      </c>
      <c r="W13">
        <v>605.67000000000007</v>
      </c>
      <c r="X13">
        <v>615</v>
      </c>
      <c r="Y13">
        <v>705.33</v>
      </c>
      <c r="Z13">
        <v>562.22</v>
      </c>
      <c r="AA13">
        <v>334</v>
      </c>
      <c r="AB13">
        <v>548.69999999999993</v>
      </c>
      <c r="AC13">
        <v>274.78999999999996</v>
      </c>
      <c r="AD13">
        <v>475.28</v>
      </c>
      <c r="AE13">
        <v>157980.69160098652</v>
      </c>
    </row>
    <row r="14" spans="1:31" x14ac:dyDescent="0.35">
      <c r="A14" s="3" t="s">
        <v>78</v>
      </c>
      <c r="B14">
        <v>43332.54</v>
      </c>
      <c r="C14">
        <v>29619</v>
      </c>
      <c r="D14">
        <v>22210</v>
      </c>
      <c r="E14">
        <v>15500</v>
      </c>
      <c r="F14">
        <v>8982.43</v>
      </c>
      <c r="G14">
        <v>9036.83</v>
      </c>
      <c r="H14">
        <v>7790.99</v>
      </c>
      <c r="I14">
        <v>0</v>
      </c>
      <c r="J14">
        <v>3524.3199999999997</v>
      </c>
      <c r="K14">
        <v>3461.6900000000005</v>
      </c>
      <c r="L14">
        <v>3303.0499999999997</v>
      </c>
      <c r="M14">
        <v>4311.7299999999996</v>
      </c>
      <c r="O14">
        <v>2512.35</v>
      </c>
      <c r="P14">
        <v>2141.1799999999998</v>
      </c>
      <c r="Q14">
        <v>1431</v>
      </c>
      <c r="R14">
        <v>3477</v>
      </c>
      <c r="S14">
        <v>1359</v>
      </c>
      <c r="T14">
        <v>992</v>
      </c>
      <c r="U14">
        <v>1120.48</v>
      </c>
      <c r="W14">
        <v>651.71</v>
      </c>
      <c r="X14">
        <v>680</v>
      </c>
      <c r="Z14">
        <v>637.36</v>
      </c>
      <c r="AA14">
        <v>373</v>
      </c>
      <c r="AB14">
        <v>702.38000000000011</v>
      </c>
      <c r="AC14">
        <v>216.93</v>
      </c>
      <c r="AE14">
        <v>167366.97</v>
      </c>
    </row>
    <row r="15" spans="1:31" x14ac:dyDescent="0.35">
      <c r="A15" s="3" t="s">
        <v>77</v>
      </c>
      <c r="B15">
        <v>44022.094140249763</v>
      </c>
      <c r="C15">
        <v>33915.377836349384</v>
      </c>
      <c r="D15">
        <v>30072.356215213356</v>
      </c>
      <c r="E15">
        <v>18007.34522560336</v>
      </c>
      <c r="F15">
        <v>10304.098360655738</v>
      </c>
      <c r="G15">
        <v>8509.1787439613527</v>
      </c>
      <c r="H15">
        <v>9007.8157926854074</v>
      </c>
      <c r="I15">
        <v>0</v>
      </c>
      <c r="J15">
        <v>4361.3861386138615</v>
      </c>
      <c r="K15">
        <v>3974.9999999999995</v>
      </c>
      <c r="L15">
        <v>3328.5984848484845</v>
      </c>
      <c r="M15">
        <v>0</v>
      </c>
      <c r="N15">
        <v>0</v>
      </c>
      <c r="O15">
        <v>2851.6201376537006</v>
      </c>
      <c r="P15">
        <v>2557.3280159521437</v>
      </c>
      <c r="Q15">
        <v>1640.6003159557661</v>
      </c>
      <c r="R15">
        <v>0</v>
      </c>
      <c r="S15">
        <v>1703.1408308004052</v>
      </c>
      <c r="T15">
        <v>1132.4701195219122</v>
      </c>
      <c r="U15">
        <v>1152.0076481835563</v>
      </c>
      <c r="V15">
        <v>0</v>
      </c>
      <c r="W15">
        <v>754.30210325047801</v>
      </c>
      <c r="X15">
        <v>663.15789473684208</v>
      </c>
      <c r="Y15">
        <v>887.02928870292885</v>
      </c>
      <c r="Z15">
        <v>789.76744186046517</v>
      </c>
      <c r="AA15">
        <v>484.99399759903963</v>
      </c>
      <c r="AB15">
        <v>926.04765817584212</v>
      </c>
      <c r="AC15">
        <v>324.11067193675888</v>
      </c>
      <c r="AD15">
        <v>0</v>
      </c>
      <c r="AE15">
        <v>181369.82706251054</v>
      </c>
    </row>
    <row r="16" spans="1:31" x14ac:dyDescent="0.35">
      <c r="A16" s="3" t="s">
        <v>76</v>
      </c>
      <c r="B16">
        <v>45827</v>
      </c>
      <c r="C16">
        <v>35842</v>
      </c>
      <c r="D16">
        <v>32418</v>
      </c>
      <c r="E16">
        <v>17161</v>
      </c>
      <c r="F16">
        <v>12571</v>
      </c>
      <c r="G16">
        <v>8807</v>
      </c>
      <c r="H16">
        <v>9879</v>
      </c>
      <c r="I16">
        <v>0</v>
      </c>
      <c r="J16">
        <v>4405</v>
      </c>
      <c r="K16">
        <v>4452</v>
      </c>
      <c r="L16">
        <v>3515</v>
      </c>
      <c r="M16">
        <v>0</v>
      </c>
      <c r="O16">
        <v>3144</v>
      </c>
      <c r="P16">
        <v>2565</v>
      </c>
      <c r="Q16">
        <v>2077</v>
      </c>
      <c r="R16">
        <v>0</v>
      </c>
      <c r="S16">
        <v>1681</v>
      </c>
      <c r="T16">
        <v>1137</v>
      </c>
      <c r="U16">
        <v>1205</v>
      </c>
      <c r="W16">
        <v>789</v>
      </c>
      <c r="X16">
        <v>630</v>
      </c>
      <c r="Y16">
        <v>848</v>
      </c>
      <c r="Z16">
        <v>849</v>
      </c>
      <c r="AA16">
        <v>404</v>
      </c>
      <c r="AB16">
        <v>1127</v>
      </c>
      <c r="AC16">
        <v>246</v>
      </c>
      <c r="AE16">
        <v>191579</v>
      </c>
    </row>
    <row r="17" spans="1:31" x14ac:dyDescent="0.35">
      <c r="A17" s="3" t="s">
        <v>70</v>
      </c>
      <c r="B17">
        <v>442412.09933633008</v>
      </c>
      <c r="C17">
        <v>313341.9034405413</v>
      </c>
      <c r="D17">
        <v>279308.26309948979</v>
      </c>
      <c r="E17">
        <v>146240.88350564922</v>
      </c>
      <c r="F17">
        <v>93753.953094975092</v>
      </c>
      <c r="G17">
        <v>88046.588228892535</v>
      </c>
      <c r="H17">
        <v>84249.258969663468</v>
      </c>
      <c r="I17">
        <v>56576.536434209229</v>
      </c>
      <c r="J17">
        <v>46966.484394353676</v>
      </c>
      <c r="K17">
        <v>45172.344001807251</v>
      </c>
      <c r="L17">
        <v>36699.715359716123</v>
      </c>
      <c r="M17">
        <v>34893.114696668963</v>
      </c>
      <c r="N17">
        <v>31855.763330183585</v>
      </c>
      <c r="O17">
        <v>29143.551996192502</v>
      </c>
      <c r="P17">
        <v>19427.635989684117</v>
      </c>
      <c r="Q17">
        <v>18191.60481127106</v>
      </c>
      <c r="R17">
        <v>16407</v>
      </c>
      <c r="S17">
        <v>14187.329918886424</v>
      </c>
      <c r="T17">
        <v>9863.9706918845659</v>
      </c>
      <c r="U17">
        <v>9725.8580584691081</v>
      </c>
      <c r="V17">
        <v>7402.9851061707323</v>
      </c>
      <c r="W17">
        <v>7202.7692520167511</v>
      </c>
      <c r="X17">
        <v>6823.1532570573872</v>
      </c>
      <c r="Y17">
        <v>6741.9725622148608</v>
      </c>
      <c r="Z17">
        <v>6060.9951064856359</v>
      </c>
      <c r="AA17">
        <v>4457.9982492616655</v>
      </c>
      <c r="AB17">
        <v>3718.0176581758424</v>
      </c>
      <c r="AC17">
        <v>2202.9525939713199</v>
      </c>
      <c r="AD17">
        <v>1155.24</v>
      </c>
      <c r="AE17">
        <v>1862229.9431442223</v>
      </c>
    </row>
    <row r="19" spans="1:31" x14ac:dyDescent="0.35">
      <c r="B19" s="4" t="s">
        <v>55</v>
      </c>
      <c r="C19" s="4" t="s">
        <v>23</v>
      </c>
      <c r="D19" s="4" t="s">
        <v>14</v>
      </c>
      <c r="E19" s="4" t="s">
        <v>32</v>
      </c>
      <c r="F19" s="4" t="s">
        <v>44</v>
      </c>
      <c r="G19" s="4" t="s">
        <v>48</v>
      </c>
      <c r="H19" s="4" t="s">
        <v>20</v>
      </c>
      <c r="I19" s="5" t="s">
        <v>75</v>
      </c>
    </row>
    <row r="20" spans="1:31" x14ac:dyDescent="0.35">
      <c r="A20" s="3" t="s">
        <v>87</v>
      </c>
      <c r="B20" s="6">
        <f>B5</f>
        <v>22971.599999999999</v>
      </c>
      <c r="C20" s="6">
        <f t="shared" ref="C20:H20" si="0">C5</f>
        <v>17975</v>
      </c>
      <c r="D20" s="6">
        <f t="shared" si="0"/>
        <v>20592</v>
      </c>
      <c r="E20" s="6">
        <f t="shared" si="0"/>
        <v>7268</v>
      </c>
      <c r="F20" s="6">
        <f t="shared" si="0"/>
        <v>3819.3</v>
      </c>
      <c r="G20" s="6">
        <f t="shared" si="0"/>
        <v>5905.8</v>
      </c>
      <c r="H20" s="6">
        <f t="shared" si="0"/>
        <v>3565.9</v>
      </c>
      <c r="I20" s="6">
        <f>SUM(I5:AD5)</f>
        <v>29198.199999999993</v>
      </c>
    </row>
    <row r="21" spans="1:31" x14ac:dyDescent="0.35">
      <c r="A21" s="3" t="s">
        <v>86</v>
      </c>
      <c r="B21" s="6">
        <f t="shared" ref="B21:H28" si="1">B6</f>
        <v>28098</v>
      </c>
      <c r="C21" s="6">
        <f t="shared" si="1"/>
        <v>18589.400000000001</v>
      </c>
      <c r="D21" s="6">
        <f t="shared" si="1"/>
        <v>23720</v>
      </c>
      <c r="E21" s="6">
        <f t="shared" si="1"/>
        <v>7679</v>
      </c>
      <c r="F21" s="6">
        <f t="shared" si="1"/>
        <v>5041.3999999999996</v>
      </c>
      <c r="G21" s="6">
        <f t="shared" si="1"/>
        <v>5998.7</v>
      </c>
      <c r="H21" s="6">
        <f t="shared" si="1"/>
        <v>4513.6000000000004</v>
      </c>
      <c r="I21" s="6">
        <f t="shared" ref="I21:I31" si="2">SUM(I6:AD6)</f>
        <v>35437.100000000006</v>
      </c>
      <c r="J21" s="6"/>
    </row>
    <row r="22" spans="1:31" x14ac:dyDescent="0.35">
      <c r="A22" s="3" t="s">
        <v>85</v>
      </c>
      <c r="B22" s="6">
        <f t="shared" si="1"/>
        <v>34748.595196080314</v>
      </c>
      <c r="C22" s="6">
        <f t="shared" si="1"/>
        <v>20961.02560419192</v>
      </c>
      <c r="D22" s="6">
        <f t="shared" si="1"/>
        <v>23082.906884276421</v>
      </c>
      <c r="E22" s="6">
        <f t="shared" si="1"/>
        <v>7938.9482800458509</v>
      </c>
      <c r="F22" s="6">
        <f t="shared" si="1"/>
        <v>5459.7647343193412</v>
      </c>
      <c r="G22" s="6">
        <f t="shared" si="1"/>
        <v>6464.1878839446472</v>
      </c>
      <c r="H22" s="6">
        <f t="shared" si="1"/>
        <v>5683.0731769780523</v>
      </c>
      <c r="I22" s="6">
        <f t="shared" si="2"/>
        <v>34500.842720888628</v>
      </c>
      <c r="J22" s="6"/>
    </row>
    <row r="23" spans="1:31" x14ac:dyDescent="0.35">
      <c r="A23" s="3" t="s">
        <v>84</v>
      </c>
      <c r="B23" s="6">
        <f t="shared" si="1"/>
        <v>38397.5</v>
      </c>
      <c r="C23" s="6">
        <f t="shared" si="1"/>
        <v>22967.200000000001</v>
      </c>
      <c r="D23" s="6">
        <f t="shared" si="1"/>
        <v>25633</v>
      </c>
      <c r="E23" s="6">
        <f t="shared" si="1"/>
        <v>8977.9</v>
      </c>
      <c r="F23" s="6">
        <f t="shared" si="1"/>
        <v>6427.2000000000007</v>
      </c>
      <c r="G23" s="6">
        <f t="shared" si="1"/>
        <v>7537.5999999999995</v>
      </c>
      <c r="H23" s="6">
        <f t="shared" si="1"/>
        <v>6401.3</v>
      </c>
      <c r="I23" s="6">
        <f t="shared" si="2"/>
        <v>39513</v>
      </c>
      <c r="J23" s="6"/>
    </row>
    <row r="24" spans="1:31" x14ac:dyDescent="0.35">
      <c r="A24" s="3" t="s">
        <v>83</v>
      </c>
      <c r="B24" s="6">
        <f t="shared" si="1"/>
        <v>39060.699999999997</v>
      </c>
      <c r="C24" s="6">
        <f t="shared" si="1"/>
        <v>24489.599999999999</v>
      </c>
      <c r="D24" s="6">
        <f t="shared" si="1"/>
        <v>25510</v>
      </c>
      <c r="E24" s="6">
        <f t="shared" si="1"/>
        <v>9606</v>
      </c>
      <c r="F24" s="6">
        <f t="shared" si="1"/>
        <v>7323.9000000000005</v>
      </c>
      <c r="G24" s="6">
        <f t="shared" si="1"/>
        <v>8311.9</v>
      </c>
      <c r="H24" s="6">
        <f t="shared" si="1"/>
        <v>7669.5</v>
      </c>
      <c r="I24" s="6">
        <f t="shared" si="2"/>
        <v>39347.4</v>
      </c>
      <c r="J24" s="6"/>
    </row>
    <row r="25" spans="1:31" x14ac:dyDescent="0.35">
      <c r="A25" s="3" t="s">
        <v>82</v>
      </c>
      <c r="B25" s="6">
        <f t="shared" si="1"/>
        <v>38497</v>
      </c>
      <c r="C25" s="6">
        <f t="shared" si="1"/>
        <v>27059</v>
      </c>
      <c r="D25" s="6">
        <f t="shared" si="1"/>
        <v>23972</v>
      </c>
      <c r="E25" s="6">
        <f t="shared" si="1"/>
        <v>15651.4</v>
      </c>
      <c r="F25" s="6">
        <f t="shared" si="1"/>
        <v>9130.9</v>
      </c>
      <c r="G25" s="6">
        <f t="shared" si="1"/>
        <v>5659.7999999999993</v>
      </c>
      <c r="H25" s="6">
        <f t="shared" si="1"/>
        <v>7842.2000000000007</v>
      </c>
      <c r="I25" s="6">
        <f t="shared" si="2"/>
        <v>38298.999999999993</v>
      </c>
      <c r="J25" s="6"/>
    </row>
    <row r="26" spans="1:31" x14ac:dyDescent="0.35">
      <c r="A26" s="3" t="s">
        <v>81</v>
      </c>
      <c r="B26" s="6">
        <f t="shared" si="1"/>
        <v>40621.78</v>
      </c>
      <c r="C26" s="6">
        <f t="shared" si="1"/>
        <v>29476.3</v>
      </c>
      <c r="D26" s="6">
        <f t="shared" si="1"/>
        <v>26818</v>
      </c>
      <c r="E26" s="6">
        <f t="shared" si="1"/>
        <v>14293.29</v>
      </c>
      <c r="F26" s="6">
        <f t="shared" si="1"/>
        <v>9014.19</v>
      </c>
      <c r="G26" s="6">
        <f t="shared" si="1"/>
        <v>6906.77</v>
      </c>
      <c r="H26" s="6">
        <f t="shared" si="1"/>
        <v>9142.65</v>
      </c>
      <c r="I26" s="6">
        <f t="shared" si="2"/>
        <v>43218.81</v>
      </c>
      <c r="J26" s="6"/>
    </row>
    <row r="27" spans="1:31" x14ac:dyDescent="0.35">
      <c r="A27" s="3" t="s">
        <v>80</v>
      </c>
      <c r="B27" s="6">
        <f t="shared" si="1"/>
        <v>28616.83</v>
      </c>
      <c r="C27" s="6">
        <f t="shared" si="1"/>
        <v>23629</v>
      </c>
      <c r="D27" s="6">
        <f t="shared" si="1"/>
        <v>12024</v>
      </c>
      <c r="E27" s="6">
        <f t="shared" si="1"/>
        <v>9630</v>
      </c>
      <c r="F27" s="6">
        <f t="shared" si="1"/>
        <v>6743.4</v>
      </c>
      <c r="G27" s="6">
        <f t="shared" si="1"/>
        <v>6322.1599999999989</v>
      </c>
      <c r="H27" s="6">
        <f t="shared" si="1"/>
        <v>5217.57</v>
      </c>
      <c r="I27" s="6">
        <f t="shared" si="2"/>
        <v>29761.360000000008</v>
      </c>
      <c r="J27" s="6"/>
    </row>
    <row r="28" spans="1:31" x14ac:dyDescent="0.35">
      <c r="A28" s="3" t="s">
        <v>79</v>
      </c>
      <c r="B28" s="6">
        <f>B13</f>
        <v>38218.46</v>
      </c>
      <c r="C28" s="6">
        <f t="shared" si="1"/>
        <v>28819</v>
      </c>
      <c r="D28" s="6">
        <f t="shared" si="1"/>
        <v>13256</v>
      </c>
      <c r="E28" s="6">
        <f t="shared" si="1"/>
        <v>14528</v>
      </c>
      <c r="F28" s="6">
        <f t="shared" si="1"/>
        <v>8936.369999999999</v>
      </c>
      <c r="G28" s="6">
        <f t="shared" si="1"/>
        <v>8586.6616009865284</v>
      </c>
      <c r="H28" s="6">
        <f t="shared" si="1"/>
        <v>7535.66</v>
      </c>
      <c r="I28" s="6">
        <f t="shared" si="2"/>
        <v>38100.539999999994</v>
      </c>
      <c r="J28" s="6"/>
    </row>
    <row r="29" spans="1:31" x14ac:dyDescent="0.35">
      <c r="A29" s="3" t="s">
        <v>78</v>
      </c>
      <c r="B29" s="6">
        <f t="shared" ref="B29:H29" si="3">B14</f>
        <v>43332.54</v>
      </c>
      <c r="C29" s="6">
        <f t="shared" si="3"/>
        <v>29619</v>
      </c>
      <c r="D29" s="6">
        <f t="shared" si="3"/>
        <v>22210</v>
      </c>
      <c r="E29" s="6">
        <f t="shared" si="3"/>
        <v>15500</v>
      </c>
      <c r="F29" s="6">
        <f t="shared" si="3"/>
        <v>8982.43</v>
      </c>
      <c r="G29" s="6">
        <f t="shared" si="3"/>
        <v>9036.83</v>
      </c>
      <c r="H29" s="6">
        <f t="shared" si="3"/>
        <v>7790.99</v>
      </c>
      <c r="I29" s="6">
        <f t="shared" si="2"/>
        <v>30895.18</v>
      </c>
      <c r="J29" s="6"/>
    </row>
    <row r="30" spans="1:31" x14ac:dyDescent="0.35">
      <c r="A30" s="3" t="s">
        <v>77</v>
      </c>
      <c r="B30" s="6">
        <f t="shared" ref="B30:H30" si="4">B15</f>
        <v>44022.094140249763</v>
      </c>
      <c r="C30" s="6">
        <f t="shared" si="4"/>
        <v>33915.377836349384</v>
      </c>
      <c r="D30" s="6">
        <f t="shared" si="4"/>
        <v>30072.356215213356</v>
      </c>
      <c r="E30" s="6">
        <f t="shared" si="4"/>
        <v>18007.34522560336</v>
      </c>
      <c r="F30" s="6">
        <f t="shared" si="4"/>
        <v>10304.098360655738</v>
      </c>
      <c r="G30" s="6">
        <f t="shared" si="4"/>
        <v>8509.1787439613527</v>
      </c>
      <c r="H30" s="6">
        <f t="shared" si="4"/>
        <v>9007.8157926854074</v>
      </c>
      <c r="I30" s="6">
        <f t="shared" si="2"/>
        <v>27531.560747792188</v>
      </c>
      <c r="J30" s="6"/>
    </row>
    <row r="31" spans="1:31" x14ac:dyDescent="0.35">
      <c r="A31" s="3" t="s">
        <v>76</v>
      </c>
      <c r="B31" s="6">
        <f t="shared" ref="B31:H31" si="5">B16</f>
        <v>45827</v>
      </c>
      <c r="C31" s="6">
        <f t="shared" si="5"/>
        <v>35842</v>
      </c>
      <c r="D31" s="6">
        <f t="shared" si="5"/>
        <v>32418</v>
      </c>
      <c r="E31" s="6">
        <f t="shared" si="5"/>
        <v>17161</v>
      </c>
      <c r="F31" s="6">
        <f t="shared" si="5"/>
        <v>12571</v>
      </c>
      <c r="G31" s="6">
        <f t="shared" si="5"/>
        <v>8807</v>
      </c>
      <c r="H31" s="6">
        <f t="shared" si="5"/>
        <v>9879</v>
      </c>
      <c r="I31" s="6">
        <f t="shared" si="2"/>
        <v>29074</v>
      </c>
      <c r="J31" s="6"/>
    </row>
    <row r="32" spans="1:31" x14ac:dyDescent="0.35">
      <c r="B32" s="7">
        <f>B31/SUM($B$31:$I$31)</f>
        <v>0.23920680241571363</v>
      </c>
      <c r="C32" s="7">
        <f t="shared" ref="C32:H32" si="6">C31/SUM($B$31:$I$31)</f>
        <v>0.18708731123974967</v>
      </c>
      <c r="D32" s="7">
        <f t="shared" si="6"/>
        <v>0.16921478867725587</v>
      </c>
      <c r="E32" s="7">
        <f t="shared" si="6"/>
        <v>8.9576623742685782E-2</v>
      </c>
      <c r="F32" s="7">
        <f t="shared" si="6"/>
        <v>6.5617839115978266E-2</v>
      </c>
      <c r="G32" s="7">
        <f t="shared" si="6"/>
        <v>4.5970591766320942E-2</v>
      </c>
      <c r="H32" s="7">
        <f t="shared" si="6"/>
        <v>5.1566194624671803E-2</v>
      </c>
      <c r="I32" s="7">
        <f>I31/SUM($B$31:$I$31)</f>
        <v>0.15175984841762405</v>
      </c>
      <c r="J32" s="7"/>
    </row>
    <row r="36" spans="1:10" x14ac:dyDescent="0.35">
      <c r="A36" s="3"/>
      <c r="B36" s="4" t="s">
        <v>55</v>
      </c>
      <c r="C36" s="4" t="s">
        <v>23</v>
      </c>
      <c r="D36" s="4" t="s">
        <v>14</v>
      </c>
      <c r="E36" s="4" t="s">
        <v>32</v>
      </c>
      <c r="F36" s="4" t="s">
        <v>44</v>
      </c>
      <c r="G36" s="4" t="s">
        <v>48</v>
      </c>
      <c r="H36" s="4" t="s">
        <v>20</v>
      </c>
      <c r="I36" s="5" t="s">
        <v>75</v>
      </c>
      <c r="J36" s="5"/>
    </row>
    <row r="37" spans="1:10" x14ac:dyDescent="0.35">
      <c r="A37" s="3" t="s">
        <v>86</v>
      </c>
      <c r="B37" s="7">
        <f>(B21-B20)/B20</f>
        <v>0.2231625137125843</v>
      </c>
      <c r="C37" s="7">
        <f t="shared" ref="C37:I37" si="7">(C21-C20)/C20</f>
        <v>3.4180806675938882E-2</v>
      </c>
      <c r="D37" s="7">
        <f t="shared" si="7"/>
        <v>0.1519036519036519</v>
      </c>
      <c r="E37" s="7">
        <f t="shared" si="7"/>
        <v>5.6549257017061087E-2</v>
      </c>
      <c r="F37" s="7">
        <f t="shared" si="7"/>
        <v>0.31998010106564012</v>
      </c>
      <c r="G37" s="7">
        <f t="shared" si="7"/>
        <v>1.5730299028074036E-2</v>
      </c>
      <c r="H37" s="7">
        <f t="shared" si="7"/>
        <v>0.26576740794750281</v>
      </c>
      <c r="I37" s="7">
        <f t="shared" si="7"/>
        <v>0.21367413059709206</v>
      </c>
      <c r="J37" s="7"/>
    </row>
    <row r="38" spans="1:10" x14ac:dyDescent="0.35">
      <c r="A38" s="3" t="s">
        <v>85</v>
      </c>
      <c r="B38" s="7">
        <f t="shared" ref="B38:I47" si="8">(B22-B21)/B21</f>
        <v>0.23669283209055142</v>
      </c>
      <c r="C38" s="7">
        <f t="shared" si="8"/>
        <v>0.12757945948723029</v>
      </c>
      <c r="D38" s="7">
        <f t="shared" si="8"/>
        <v>-2.6858900325614634E-2</v>
      </c>
      <c r="E38" s="7">
        <f t="shared" si="8"/>
        <v>3.3851840089315133E-2</v>
      </c>
      <c r="F38" s="7">
        <f t="shared" si="8"/>
        <v>8.2985824239168005E-2</v>
      </c>
      <c r="G38" s="7">
        <f t="shared" si="8"/>
        <v>7.7598126918273516E-2</v>
      </c>
      <c r="H38" s="7">
        <f t="shared" si="8"/>
        <v>0.25909987082994768</v>
      </c>
      <c r="I38" s="7">
        <f t="shared" si="8"/>
        <v>-2.6420256711507936E-2</v>
      </c>
      <c r="J38" s="7"/>
    </row>
    <row r="39" spans="1:10" x14ac:dyDescent="0.35">
      <c r="A39" s="3" t="s">
        <v>84</v>
      </c>
      <c r="B39" s="7">
        <f t="shared" si="8"/>
        <v>0.10500869987202496</v>
      </c>
      <c r="C39" s="7">
        <f t="shared" si="8"/>
        <v>9.5709744059797958E-2</v>
      </c>
      <c r="D39" s="7">
        <f t="shared" si="8"/>
        <v>0.11047538893208669</v>
      </c>
      <c r="E39" s="7">
        <f t="shared" si="8"/>
        <v>0.1308676770908688</v>
      </c>
      <c r="F39" s="7">
        <f t="shared" si="8"/>
        <v>0.17719358118116199</v>
      </c>
      <c r="G39" s="7">
        <f t="shared" si="8"/>
        <v>0.16605521611174504</v>
      </c>
      <c r="H39" s="7">
        <f t="shared" si="8"/>
        <v>0.12638000614376421</v>
      </c>
      <c r="I39" s="7">
        <f t="shared" si="8"/>
        <v>0.14527637251239514</v>
      </c>
      <c r="J39" s="7"/>
    </row>
    <row r="40" spans="1:10" x14ac:dyDescent="0.35">
      <c r="A40" s="3" t="s">
        <v>83</v>
      </c>
      <c r="B40" s="7">
        <f t="shared" si="8"/>
        <v>1.7271957809753165E-2</v>
      </c>
      <c r="C40" s="7">
        <f t="shared" si="8"/>
        <v>6.6285833710682959E-2</v>
      </c>
      <c r="D40" s="7">
        <f t="shared" si="8"/>
        <v>-4.7985019311044359E-3</v>
      </c>
      <c r="E40" s="7">
        <f t="shared" si="8"/>
        <v>6.9960681228349655E-2</v>
      </c>
      <c r="F40" s="7">
        <f t="shared" si="8"/>
        <v>0.13951643017176993</v>
      </c>
      <c r="G40" s="7">
        <f t="shared" si="8"/>
        <v>0.10272500530672897</v>
      </c>
      <c r="H40" s="7">
        <f t="shared" si="8"/>
        <v>0.19811600768593876</v>
      </c>
      <c r="I40" s="7">
        <f t="shared" si="8"/>
        <v>-4.1910257383645519E-3</v>
      </c>
      <c r="J40" s="7"/>
    </row>
    <row r="41" spans="1:10" x14ac:dyDescent="0.35">
      <c r="A41" s="3" t="s">
        <v>82</v>
      </c>
      <c r="B41" s="7">
        <f t="shared" si="8"/>
        <v>-1.4431384998220645E-2</v>
      </c>
      <c r="C41" s="7">
        <f t="shared" si="8"/>
        <v>0.10491800601071481</v>
      </c>
      <c r="D41" s="7">
        <f t="shared" si="8"/>
        <v>-6.0290082320658564E-2</v>
      </c>
      <c r="E41" s="7">
        <f t="shared" si="8"/>
        <v>0.6293358317718093</v>
      </c>
      <c r="F41" s="7">
        <f t="shared" si="8"/>
        <v>0.24672647086934543</v>
      </c>
      <c r="G41" s="7">
        <f t="shared" si="8"/>
        <v>-0.31907265486832137</v>
      </c>
      <c r="H41" s="7">
        <f t="shared" si="8"/>
        <v>2.2517765173740236E-2</v>
      </c>
      <c r="I41" s="7">
        <f t="shared" si="8"/>
        <v>-2.6644708417837233E-2</v>
      </c>
      <c r="J41" s="7"/>
    </row>
    <row r="42" spans="1:10" x14ac:dyDescent="0.35">
      <c r="A42" s="3" t="s">
        <v>81</v>
      </c>
      <c r="B42" s="7">
        <f t="shared" si="8"/>
        <v>5.5193391692859153E-2</v>
      </c>
      <c r="C42" s="7">
        <f t="shared" si="8"/>
        <v>8.9334417384234421E-2</v>
      </c>
      <c r="D42" s="7">
        <f t="shared" si="8"/>
        <v>0.11872184214917404</v>
      </c>
      <c r="E42" s="7">
        <f t="shared" si="8"/>
        <v>-8.677242930344882E-2</v>
      </c>
      <c r="F42" s="7">
        <f t="shared" si="8"/>
        <v>-1.2781872542684635E-2</v>
      </c>
      <c r="G42" s="7">
        <f t="shared" si="8"/>
        <v>0.2203205060249481</v>
      </c>
      <c r="H42" s="7">
        <f t="shared" si="8"/>
        <v>0.1658271913493661</v>
      </c>
      <c r="I42" s="7">
        <f t="shared" si="8"/>
        <v>0.1284579231833731</v>
      </c>
      <c r="J42" s="7"/>
    </row>
    <row r="43" spans="1:10" x14ac:dyDescent="0.35">
      <c r="A43" s="3" t="s">
        <v>80</v>
      </c>
      <c r="B43" s="7">
        <f t="shared" si="8"/>
        <v>-0.29552988569186278</v>
      </c>
      <c r="C43" s="7">
        <f t="shared" si="8"/>
        <v>-0.19837293011673784</v>
      </c>
      <c r="D43" s="7">
        <f t="shared" si="8"/>
        <v>-0.55164441792825714</v>
      </c>
      <c r="E43" s="7">
        <f t="shared" si="8"/>
        <v>-0.32625728576136082</v>
      </c>
      <c r="F43" s="7">
        <f t="shared" si="8"/>
        <v>-0.25191281745780825</v>
      </c>
      <c r="G43" s="7">
        <f t="shared" si="8"/>
        <v>-8.4643038641796592E-2</v>
      </c>
      <c r="H43" s="7">
        <f t="shared" si="8"/>
        <v>-0.42931535167593643</v>
      </c>
      <c r="I43" s="7">
        <f t="shared" si="8"/>
        <v>-0.31137946648692988</v>
      </c>
      <c r="J43" s="7"/>
    </row>
    <row r="44" spans="1:10" x14ac:dyDescent="0.35">
      <c r="A44" s="3" t="s">
        <v>79</v>
      </c>
      <c r="B44" s="7">
        <f t="shared" si="8"/>
        <v>0.33552388576931813</v>
      </c>
      <c r="C44" s="7">
        <f t="shared" si="8"/>
        <v>0.21964535105167379</v>
      </c>
      <c r="D44" s="7">
        <f t="shared" si="8"/>
        <v>0.10246174318030606</v>
      </c>
      <c r="E44" s="7">
        <f t="shared" si="8"/>
        <v>0.50861889927310489</v>
      </c>
      <c r="F44" s="7">
        <f t="shared" si="8"/>
        <v>0.32520242014414086</v>
      </c>
      <c r="G44" s="7">
        <f t="shared" si="8"/>
        <v>0.35818479775686313</v>
      </c>
      <c r="H44" s="7">
        <f t="shared" si="8"/>
        <v>0.44428536655952872</v>
      </c>
      <c r="I44" s="7">
        <f t="shared" si="8"/>
        <v>0.28020157680966135</v>
      </c>
      <c r="J44" s="7"/>
    </row>
    <row r="45" spans="1:10" x14ac:dyDescent="0.35">
      <c r="A45" s="3" t="s">
        <v>78</v>
      </c>
      <c r="B45" s="7">
        <f t="shared" si="8"/>
        <v>0.13381177577537143</v>
      </c>
      <c r="C45" s="7">
        <f t="shared" si="8"/>
        <v>2.7759464242340121E-2</v>
      </c>
      <c r="D45" s="7">
        <f t="shared" si="8"/>
        <v>0.67546771273385642</v>
      </c>
      <c r="E45" s="7">
        <f t="shared" si="8"/>
        <v>6.6905286343612341E-2</v>
      </c>
      <c r="F45" s="7">
        <f t="shared" si="8"/>
        <v>5.1542180997431073E-3</v>
      </c>
      <c r="G45" s="7">
        <f t="shared" si="8"/>
        <v>5.2426474913341334E-2</v>
      </c>
      <c r="H45" s="7">
        <f t="shared" si="8"/>
        <v>3.3882898113768392E-2</v>
      </c>
      <c r="I45" s="7">
        <f t="shared" si="8"/>
        <v>-0.18911438000616249</v>
      </c>
    </row>
    <row r="46" spans="1:10" x14ac:dyDescent="0.35">
      <c r="A46" s="3" t="s">
        <v>77</v>
      </c>
      <c r="B46" s="7">
        <f t="shared" si="8"/>
        <v>1.5913079183674947E-2</v>
      </c>
      <c r="C46" s="7">
        <f t="shared" si="8"/>
        <v>0.14505479038284155</v>
      </c>
      <c r="D46" s="7">
        <f t="shared" si="8"/>
        <v>0.35400073008614841</v>
      </c>
      <c r="E46" s="7">
        <f t="shared" si="8"/>
        <v>0.16176420810344255</v>
      </c>
      <c r="F46" s="7">
        <f t="shared" si="8"/>
        <v>0.14713928866194761</v>
      </c>
      <c r="G46" s="7">
        <f t="shared" si="8"/>
        <v>-5.838897666976664E-2</v>
      </c>
      <c r="H46" s="7">
        <f t="shared" si="8"/>
        <v>0.15618371897350755</v>
      </c>
      <c r="I46" s="7">
        <f t="shared" si="8"/>
        <v>-0.10887197459952694</v>
      </c>
    </row>
    <row r="47" spans="1:10" x14ac:dyDescent="0.35">
      <c r="A47" s="3" t="s">
        <v>76</v>
      </c>
      <c r="B47" s="7">
        <f t="shared" si="8"/>
        <v>4.0999999999999925E-2</v>
      </c>
      <c r="C47" s="7">
        <f t="shared" si="8"/>
        <v>5.6806743328854381E-2</v>
      </c>
      <c r="D47" s="7">
        <f t="shared" si="8"/>
        <v>7.8000000000000055E-2</v>
      </c>
      <c r="E47" s="7">
        <f t="shared" si="8"/>
        <v>-4.7000000000000104E-2</v>
      </c>
      <c r="F47" s="7">
        <f t="shared" si="8"/>
        <v>0.21999999999999992</v>
      </c>
      <c r="G47" s="7">
        <f t="shared" si="8"/>
        <v>3.4999999999999996E-2</v>
      </c>
      <c r="H47" s="7">
        <f t="shared" si="8"/>
        <v>9.6714256526206729E-2</v>
      </c>
      <c r="I47" s="7">
        <f t="shared" si="8"/>
        <v>5.6024402914807647E-2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8527-C9CB-4663-BE04-6278E1018642}">
  <dimension ref="A1:AE45"/>
  <sheetViews>
    <sheetView workbookViewId="0">
      <selection activeCell="M5" sqref="M5"/>
    </sheetView>
  </sheetViews>
  <sheetFormatPr defaultColWidth="10.90625" defaultRowHeight="14.5" x14ac:dyDescent="0.35"/>
  <cols>
    <col min="1" max="1" width="23.7265625" bestFit="1" customWidth="1"/>
    <col min="2" max="2" width="22.81640625" bestFit="1" customWidth="1"/>
    <col min="3" max="27" width="12" bestFit="1" customWidth="1"/>
    <col min="28" max="28" width="7" bestFit="1" customWidth="1"/>
    <col min="29" max="29" width="12" bestFit="1" customWidth="1"/>
    <col min="30" max="30" width="3.453125" bestFit="1" customWidth="1"/>
    <col min="31" max="31" width="12.54296875" bestFit="1" customWidth="1"/>
    <col min="32" max="58" width="23.7265625" bestFit="1" customWidth="1"/>
    <col min="59" max="59" width="28.7265625" bestFit="1" customWidth="1"/>
    <col min="60" max="60" width="18.1796875" bestFit="1" customWidth="1"/>
  </cols>
  <sheetData>
    <row r="1" spans="1:31" x14ac:dyDescent="0.35">
      <c r="A1" s="2" t="s">
        <v>73</v>
      </c>
      <c r="B1" s="2" t="s">
        <v>72</v>
      </c>
    </row>
    <row r="2" spans="1:31" x14ac:dyDescent="0.35">
      <c r="A2" s="2" t="s">
        <v>69</v>
      </c>
      <c r="B2" t="s">
        <v>55</v>
      </c>
      <c r="C2" t="s">
        <v>23</v>
      </c>
      <c r="D2" t="s">
        <v>14</v>
      </c>
      <c r="E2" t="s">
        <v>32</v>
      </c>
      <c r="F2" t="s">
        <v>48</v>
      </c>
      <c r="G2" t="s">
        <v>44</v>
      </c>
      <c r="H2" t="s">
        <v>20</v>
      </c>
      <c r="I2" t="s">
        <v>16</v>
      </c>
      <c r="J2" t="s">
        <v>64</v>
      </c>
      <c r="K2" t="s">
        <v>8</v>
      </c>
      <c r="L2" t="s">
        <v>6</v>
      </c>
      <c r="M2" t="s">
        <v>42</v>
      </c>
      <c r="N2" t="s">
        <v>60</v>
      </c>
      <c r="O2" t="s">
        <v>12</v>
      </c>
      <c r="P2" t="s">
        <v>52</v>
      </c>
      <c r="Q2" t="s">
        <v>50</v>
      </c>
      <c r="R2" t="s">
        <v>46</v>
      </c>
      <c r="S2" t="s">
        <v>34</v>
      </c>
      <c r="T2" t="s">
        <v>30</v>
      </c>
      <c r="U2" t="s">
        <v>57</v>
      </c>
      <c r="V2" t="s">
        <v>18</v>
      </c>
      <c r="W2" t="s">
        <v>10</v>
      </c>
      <c r="X2" t="s">
        <v>38</v>
      </c>
      <c r="Y2" t="s">
        <v>66</v>
      </c>
      <c r="Z2" t="s">
        <v>28</v>
      </c>
      <c r="AA2" t="s">
        <v>36</v>
      </c>
      <c r="AB2" t="s">
        <v>62</v>
      </c>
      <c r="AC2" t="s">
        <v>26</v>
      </c>
      <c r="AD2" t="s">
        <v>40</v>
      </c>
      <c r="AE2" t="s">
        <v>70</v>
      </c>
    </row>
    <row r="3" spans="1:31" x14ac:dyDescent="0.35">
      <c r="A3" s="3" t="s">
        <v>87</v>
      </c>
      <c r="B3">
        <v>18199.8</v>
      </c>
      <c r="C3">
        <v>10715</v>
      </c>
      <c r="D3">
        <v>14722</v>
      </c>
      <c r="E3">
        <v>2345</v>
      </c>
      <c r="F3">
        <v>4061.9</v>
      </c>
      <c r="G3">
        <v>2262.5</v>
      </c>
      <c r="H3">
        <v>2078.3000000000002</v>
      </c>
      <c r="I3">
        <v>2277.3000000000002</v>
      </c>
      <c r="J3">
        <v>3625.4</v>
      </c>
      <c r="M3">
        <v>1533.3</v>
      </c>
      <c r="N3">
        <v>2257.6999999999998</v>
      </c>
      <c r="O3">
        <v>469.5</v>
      </c>
      <c r="P3">
        <v>686.30000000000007</v>
      </c>
      <c r="Q3">
        <v>636.9</v>
      </c>
      <c r="R3">
        <v>391</v>
      </c>
      <c r="S3">
        <v>267</v>
      </c>
      <c r="U3">
        <v>359</v>
      </c>
      <c r="V3">
        <v>288</v>
      </c>
      <c r="W3">
        <v>178.7</v>
      </c>
      <c r="X3">
        <v>199.4</v>
      </c>
      <c r="Y3">
        <v>796</v>
      </c>
      <c r="AA3">
        <v>198.5</v>
      </c>
      <c r="AE3">
        <v>68548.5</v>
      </c>
    </row>
    <row r="4" spans="1:31" x14ac:dyDescent="0.35">
      <c r="A4" s="3" t="s">
        <v>86</v>
      </c>
      <c r="B4">
        <v>22548.5</v>
      </c>
      <c r="C4">
        <v>11523.1</v>
      </c>
      <c r="D4">
        <v>17300</v>
      </c>
      <c r="E4">
        <v>2546.0329999999999</v>
      </c>
      <c r="F4">
        <v>4166.8</v>
      </c>
      <c r="G4">
        <v>3193.3</v>
      </c>
      <c r="H4">
        <v>2656.6000000000004</v>
      </c>
      <c r="I4">
        <v>2259.1</v>
      </c>
      <c r="J4">
        <v>3710.3</v>
      </c>
      <c r="K4">
        <v>1316</v>
      </c>
      <c r="L4">
        <v>3625</v>
      </c>
      <c r="M4">
        <v>1663.5</v>
      </c>
      <c r="N4">
        <v>2218.5</v>
      </c>
      <c r="O4">
        <v>554.20000000000005</v>
      </c>
      <c r="P4">
        <v>657.9</v>
      </c>
      <c r="Q4">
        <v>686.2</v>
      </c>
      <c r="R4">
        <v>578</v>
      </c>
      <c r="S4">
        <v>299.5</v>
      </c>
      <c r="U4">
        <v>311</v>
      </c>
      <c r="V4">
        <v>206</v>
      </c>
      <c r="W4">
        <v>211.2</v>
      </c>
      <c r="X4">
        <v>329.9</v>
      </c>
      <c r="Y4">
        <v>835</v>
      </c>
      <c r="AA4">
        <v>202.4</v>
      </c>
      <c r="AB4">
        <v>75.099999999999994</v>
      </c>
      <c r="AC4">
        <v>19.7</v>
      </c>
      <c r="AE4">
        <v>83692.832999999999</v>
      </c>
    </row>
    <row r="5" spans="1:31" x14ac:dyDescent="0.35">
      <c r="A5" s="3" t="s">
        <v>85</v>
      </c>
      <c r="B5">
        <v>28090.241718889883</v>
      </c>
      <c r="C5">
        <v>13879.861541021801</v>
      </c>
      <c r="D5">
        <v>13401.824461960854</v>
      </c>
      <c r="E5">
        <v>2708.4359605911332</v>
      </c>
      <c r="F5">
        <v>4621.357602070635</v>
      </c>
      <c r="G5">
        <v>3352.9282092732751</v>
      </c>
      <c r="H5">
        <v>3664.7941241440249</v>
      </c>
      <c r="I5">
        <v>2766.5078284547308</v>
      </c>
      <c r="J5">
        <v>3974.381368267831</v>
      </c>
      <c r="K5">
        <v>2268.0264844083722</v>
      </c>
      <c r="L5">
        <v>1974.0303827548164</v>
      </c>
      <c r="M5">
        <v>1358.2384957941613</v>
      </c>
      <c r="N5">
        <v>1070.7619339045289</v>
      </c>
      <c r="O5">
        <v>634.56883509833585</v>
      </c>
      <c r="P5">
        <v>891.34553916649236</v>
      </c>
      <c r="Q5">
        <v>665.08141221989365</v>
      </c>
      <c r="R5">
        <v>688.00527965682238</v>
      </c>
      <c r="S5">
        <v>377.99869039823801</v>
      </c>
      <c r="T5">
        <v>476.91241445031619</v>
      </c>
      <c r="U5">
        <v>293.48937620724917</v>
      </c>
      <c r="V5">
        <v>295.99161222679248</v>
      </c>
      <c r="W5">
        <v>247.61077324066028</v>
      </c>
      <c r="X5">
        <v>389.61240310077523</v>
      </c>
      <c r="Y5">
        <v>917.98027480401254</v>
      </c>
      <c r="Z5">
        <v>0</v>
      </c>
      <c r="AA5">
        <v>223.18740861787219</v>
      </c>
      <c r="AB5">
        <v>0</v>
      </c>
      <c r="AC5">
        <v>25.889967637540455</v>
      </c>
      <c r="AD5">
        <v>0</v>
      </c>
      <c r="AE5">
        <v>89259.064098361036</v>
      </c>
    </row>
    <row r="6" spans="1:31" x14ac:dyDescent="0.35">
      <c r="A6" s="3" t="s">
        <v>84</v>
      </c>
      <c r="B6">
        <v>31376.799999999999</v>
      </c>
      <c r="C6">
        <v>15524.1</v>
      </c>
      <c r="D6">
        <v>15132</v>
      </c>
      <c r="E6">
        <v>3518.8</v>
      </c>
      <c r="F6">
        <v>5535</v>
      </c>
      <c r="G6">
        <v>4563</v>
      </c>
      <c r="H6">
        <v>4207.6000000000004</v>
      </c>
      <c r="I6">
        <v>3251.2</v>
      </c>
      <c r="J6">
        <v>4095.6</v>
      </c>
      <c r="K6">
        <v>2476.6</v>
      </c>
      <c r="L6">
        <v>2326</v>
      </c>
      <c r="M6">
        <v>1647</v>
      </c>
      <c r="N6">
        <v>1399.7</v>
      </c>
      <c r="O6">
        <v>838.9</v>
      </c>
      <c r="P6">
        <v>1349.3000000000002</v>
      </c>
      <c r="Q6">
        <v>825.1</v>
      </c>
      <c r="R6">
        <v>834</v>
      </c>
      <c r="S6">
        <v>635</v>
      </c>
      <c r="T6">
        <v>550.5</v>
      </c>
      <c r="U6">
        <v>516.6</v>
      </c>
      <c r="V6">
        <v>367</v>
      </c>
      <c r="W6">
        <v>285</v>
      </c>
      <c r="X6">
        <v>502.6</v>
      </c>
      <c r="Y6">
        <v>1089</v>
      </c>
      <c r="AA6">
        <v>259.5</v>
      </c>
      <c r="AC6">
        <v>40</v>
      </c>
      <c r="AE6">
        <v>103145.90000000002</v>
      </c>
    </row>
    <row r="7" spans="1:31" x14ac:dyDescent="0.35">
      <c r="A7" s="3" t="s">
        <v>83</v>
      </c>
      <c r="B7">
        <v>31979.200000000001</v>
      </c>
      <c r="C7">
        <v>16743.599999999999</v>
      </c>
      <c r="D7">
        <v>15132</v>
      </c>
      <c r="E7">
        <v>3881</v>
      </c>
      <c r="F7">
        <v>6214.4</v>
      </c>
      <c r="G7">
        <v>5132.1000000000004</v>
      </c>
      <c r="H7">
        <v>4630.8999999999996</v>
      </c>
      <c r="I7">
        <v>3462.8</v>
      </c>
      <c r="J7">
        <v>4128.3999999999996</v>
      </c>
      <c r="K7">
        <v>2883.2</v>
      </c>
      <c r="L7">
        <v>2539.6</v>
      </c>
      <c r="M7">
        <v>2110.4</v>
      </c>
      <c r="N7">
        <v>2211.9</v>
      </c>
      <c r="O7">
        <v>880.5</v>
      </c>
      <c r="P7">
        <v>1335.9</v>
      </c>
      <c r="Q7">
        <v>888</v>
      </c>
      <c r="R7">
        <v>875</v>
      </c>
      <c r="S7">
        <v>669</v>
      </c>
      <c r="T7">
        <v>646.4</v>
      </c>
      <c r="U7">
        <v>564.29999999999995</v>
      </c>
      <c r="V7">
        <v>428</v>
      </c>
      <c r="W7">
        <v>318.8</v>
      </c>
      <c r="X7">
        <v>506.8</v>
      </c>
      <c r="AA7">
        <v>284.8</v>
      </c>
      <c r="AC7">
        <v>50.7</v>
      </c>
      <c r="AE7">
        <v>108497.69999999998</v>
      </c>
    </row>
    <row r="8" spans="1:31" x14ac:dyDescent="0.35">
      <c r="A8" s="3" t="s">
        <v>82</v>
      </c>
      <c r="B8">
        <v>31798.799999999999</v>
      </c>
      <c r="C8">
        <v>19059.8</v>
      </c>
      <c r="D8">
        <v>13760</v>
      </c>
      <c r="E8">
        <v>9150.1</v>
      </c>
      <c r="F8">
        <v>4283.3</v>
      </c>
      <c r="G8">
        <v>6448.3</v>
      </c>
      <c r="H8">
        <v>4646.2</v>
      </c>
      <c r="I8">
        <v>3522.9</v>
      </c>
      <c r="J8">
        <v>3915</v>
      </c>
      <c r="K8">
        <v>2769.4</v>
      </c>
      <c r="L8">
        <v>2876.7</v>
      </c>
      <c r="M8">
        <v>2129</v>
      </c>
      <c r="O8">
        <v>1564.8</v>
      </c>
      <c r="P8">
        <v>1070.4000000000001</v>
      </c>
      <c r="Q8">
        <v>894.6</v>
      </c>
      <c r="R8">
        <v>1053</v>
      </c>
      <c r="S8">
        <v>834</v>
      </c>
      <c r="T8">
        <v>786.5</v>
      </c>
      <c r="U8">
        <v>621.29999999999995</v>
      </c>
      <c r="V8">
        <v>470</v>
      </c>
      <c r="W8">
        <v>403.9</v>
      </c>
      <c r="X8">
        <v>556.79999999999995</v>
      </c>
      <c r="AA8">
        <v>426</v>
      </c>
      <c r="AC8">
        <v>55.3</v>
      </c>
      <c r="AE8">
        <v>113096.1</v>
      </c>
    </row>
    <row r="9" spans="1:31" x14ac:dyDescent="0.35">
      <c r="A9" s="3" t="s">
        <v>81</v>
      </c>
      <c r="B9">
        <v>33401.050000000003</v>
      </c>
      <c r="C9">
        <v>20614.05</v>
      </c>
      <c r="D9">
        <v>15728</v>
      </c>
      <c r="E9">
        <v>7766.91</v>
      </c>
      <c r="F9">
        <v>4932.12</v>
      </c>
      <c r="G9">
        <v>6246.06</v>
      </c>
      <c r="H9">
        <v>5301.95</v>
      </c>
      <c r="I9">
        <v>3257.96</v>
      </c>
      <c r="J9">
        <v>4389.75</v>
      </c>
      <c r="K9">
        <v>2930.85</v>
      </c>
      <c r="L9">
        <v>3405.21</v>
      </c>
      <c r="M9">
        <v>2060.69</v>
      </c>
      <c r="N9">
        <v>3356.21</v>
      </c>
      <c r="O9">
        <v>1230.02</v>
      </c>
      <c r="P9">
        <v>401.72</v>
      </c>
      <c r="Q9">
        <v>913.65</v>
      </c>
      <c r="R9">
        <v>1019</v>
      </c>
      <c r="S9">
        <v>836</v>
      </c>
      <c r="T9">
        <v>855.63</v>
      </c>
      <c r="U9">
        <v>608.59</v>
      </c>
      <c r="V9">
        <v>456</v>
      </c>
      <c r="W9">
        <v>452.27</v>
      </c>
      <c r="AA9">
        <v>286</v>
      </c>
      <c r="AB9">
        <v>103.09</v>
      </c>
      <c r="AC9">
        <v>58.78</v>
      </c>
      <c r="AE9">
        <v>120611.55999999998</v>
      </c>
    </row>
    <row r="10" spans="1:31" x14ac:dyDescent="0.35">
      <c r="A10" s="3" t="s">
        <v>80</v>
      </c>
      <c r="B10">
        <v>21707.82</v>
      </c>
      <c r="C10">
        <v>15955</v>
      </c>
      <c r="D10">
        <v>6143</v>
      </c>
      <c r="E10">
        <v>4929</v>
      </c>
      <c r="F10">
        <v>4464.53</v>
      </c>
      <c r="G10">
        <v>4276.38</v>
      </c>
      <c r="H10">
        <v>2791.2799999999997</v>
      </c>
      <c r="I10">
        <v>1687.01</v>
      </c>
      <c r="K10">
        <v>2214.48</v>
      </c>
      <c r="L10">
        <v>2502.75</v>
      </c>
      <c r="M10">
        <v>1562.68</v>
      </c>
      <c r="N10">
        <v>3224.92</v>
      </c>
      <c r="O10">
        <v>957.01</v>
      </c>
      <c r="P10">
        <v>466.89</v>
      </c>
      <c r="Q10">
        <v>665</v>
      </c>
      <c r="R10">
        <v>750</v>
      </c>
      <c r="S10">
        <v>425</v>
      </c>
      <c r="T10">
        <v>492.13</v>
      </c>
      <c r="U10">
        <v>466.32</v>
      </c>
      <c r="V10">
        <v>294</v>
      </c>
      <c r="W10">
        <v>312.70999999999998</v>
      </c>
      <c r="Z10">
        <v>332.28</v>
      </c>
      <c r="AA10">
        <v>159</v>
      </c>
      <c r="AB10">
        <v>287.55</v>
      </c>
      <c r="AC10">
        <v>59.71</v>
      </c>
      <c r="AE10">
        <v>77126.45</v>
      </c>
    </row>
    <row r="11" spans="1:31" x14ac:dyDescent="0.35">
      <c r="A11" s="3" t="s">
        <v>79</v>
      </c>
      <c r="B11">
        <v>30862.55</v>
      </c>
      <c r="C11">
        <v>20257</v>
      </c>
      <c r="D11">
        <v>6576</v>
      </c>
      <c r="E11">
        <v>7817</v>
      </c>
      <c r="F11">
        <v>6580.051247983296</v>
      </c>
      <c r="G11">
        <v>6052.94</v>
      </c>
      <c r="H11">
        <v>4576.67</v>
      </c>
      <c r="I11">
        <v>2004.48</v>
      </c>
      <c r="K11">
        <v>2559.0100000000002</v>
      </c>
      <c r="L11">
        <v>2983.5</v>
      </c>
      <c r="M11">
        <v>2187.42</v>
      </c>
      <c r="N11">
        <v>4769.3900000000003</v>
      </c>
      <c r="O11">
        <v>1187.32</v>
      </c>
      <c r="P11">
        <v>974.52</v>
      </c>
      <c r="Q11">
        <v>842</v>
      </c>
      <c r="R11">
        <v>858</v>
      </c>
      <c r="S11">
        <v>810</v>
      </c>
      <c r="T11">
        <v>702.19</v>
      </c>
      <c r="U11">
        <v>624.23</v>
      </c>
      <c r="V11">
        <v>432</v>
      </c>
      <c r="W11">
        <v>421.55</v>
      </c>
      <c r="X11">
        <v>289.3</v>
      </c>
      <c r="Z11">
        <v>477.03</v>
      </c>
      <c r="AA11">
        <v>234</v>
      </c>
      <c r="AB11">
        <v>232.23</v>
      </c>
      <c r="AC11">
        <v>61.07</v>
      </c>
      <c r="AE11">
        <v>105371.45124798329</v>
      </c>
    </row>
    <row r="12" spans="1:31" x14ac:dyDescent="0.35">
      <c r="A12" s="3" t="s">
        <v>78</v>
      </c>
      <c r="B12">
        <v>35453.68</v>
      </c>
      <c r="C12">
        <v>19843</v>
      </c>
      <c r="D12">
        <v>15538</v>
      </c>
      <c r="E12">
        <v>7906</v>
      </c>
      <c r="F12">
        <v>6933.4</v>
      </c>
      <c r="G12">
        <v>5996.37</v>
      </c>
      <c r="H12">
        <v>4504.62</v>
      </c>
      <c r="I12">
        <v>2285.75</v>
      </c>
      <c r="K12">
        <v>1607.63</v>
      </c>
      <c r="L12">
        <v>3132.6</v>
      </c>
      <c r="M12">
        <v>1874.78</v>
      </c>
      <c r="O12">
        <v>1367.07</v>
      </c>
      <c r="P12">
        <v>1028.1600000000001</v>
      </c>
      <c r="Q12">
        <v>988</v>
      </c>
      <c r="R12">
        <v>788</v>
      </c>
      <c r="S12">
        <v>773</v>
      </c>
      <c r="T12">
        <v>714.82</v>
      </c>
      <c r="V12">
        <v>482</v>
      </c>
      <c r="W12">
        <v>483.33</v>
      </c>
      <c r="X12">
        <v>282.87</v>
      </c>
      <c r="Z12">
        <v>597.22</v>
      </c>
      <c r="AA12">
        <v>260</v>
      </c>
      <c r="AC12">
        <v>37.26</v>
      </c>
      <c r="AE12">
        <v>112877.56</v>
      </c>
    </row>
    <row r="13" spans="1:31" x14ac:dyDescent="0.35">
      <c r="A13" s="3" t="s">
        <v>77</v>
      </c>
      <c r="B13">
        <v>36043.851286939942</v>
      </c>
      <c r="C13">
        <v>23759.43485521503</v>
      </c>
      <c r="D13">
        <v>17533.394327538885</v>
      </c>
      <c r="E13">
        <v>11088.062622309197</v>
      </c>
      <c r="F13">
        <v>6358.9743589743584</v>
      </c>
      <c r="G13">
        <v>7334.1269841269841</v>
      </c>
      <c r="H13">
        <v>5750.149054155032</v>
      </c>
      <c r="I13">
        <v>2676.2152777777778</v>
      </c>
      <c r="J13">
        <v>0</v>
      </c>
      <c r="K13">
        <v>2353.5353535353534</v>
      </c>
      <c r="L13">
        <v>0</v>
      </c>
      <c r="M13">
        <v>1947.2222222222222</v>
      </c>
      <c r="N13">
        <v>0</v>
      </c>
      <c r="O13">
        <v>1752.8846153846152</v>
      </c>
      <c r="P13">
        <v>1551.6544855460036</v>
      </c>
      <c r="Q13">
        <v>1232.5141776937617</v>
      </c>
      <c r="R13">
        <v>1025.3456221198157</v>
      </c>
      <c r="S13">
        <v>891.6015625</v>
      </c>
      <c r="T13">
        <v>854.13005272407736</v>
      </c>
      <c r="U13">
        <v>810.75491209927611</v>
      </c>
      <c r="V13">
        <v>480.16276703967446</v>
      </c>
      <c r="W13">
        <v>603.23159784560141</v>
      </c>
      <c r="X13">
        <v>280.10704727921501</v>
      </c>
      <c r="Y13">
        <v>0</v>
      </c>
      <c r="Z13">
        <v>779.81651376146783</v>
      </c>
      <c r="AA13">
        <v>257.90010193679922</v>
      </c>
      <c r="AB13">
        <v>0</v>
      </c>
      <c r="AC13">
        <v>83.024462564862858</v>
      </c>
      <c r="AD13">
        <v>0</v>
      </c>
      <c r="AE13">
        <v>125448.09426128995</v>
      </c>
    </row>
    <row r="14" spans="1:31" x14ac:dyDescent="0.35">
      <c r="A14" s="3" t="s">
        <v>76</v>
      </c>
      <c r="B14">
        <v>37810</v>
      </c>
      <c r="C14">
        <v>26213</v>
      </c>
      <c r="D14">
        <v>19164</v>
      </c>
      <c r="E14">
        <v>11332</v>
      </c>
      <c r="F14">
        <v>6944</v>
      </c>
      <c r="G14">
        <v>9241</v>
      </c>
      <c r="H14">
        <v>6551</v>
      </c>
      <c r="I14">
        <v>3083</v>
      </c>
      <c r="K14">
        <v>2330</v>
      </c>
      <c r="M14">
        <v>2103</v>
      </c>
      <c r="O14">
        <v>1823</v>
      </c>
      <c r="P14">
        <v>1591</v>
      </c>
      <c r="Q14">
        <v>1304</v>
      </c>
      <c r="R14">
        <v>1335</v>
      </c>
      <c r="S14">
        <v>913</v>
      </c>
      <c r="T14">
        <v>972</v>
      </c>
      <c r="U14">
        <v>784</v>
      </c>
      <c r="V14">
        <v>472</v>
      </c>
      <c r="W14">
        <v>672</v>
      </c>
      <c r="X14">
        <v>314</v>
      </c>
      <c r="Z14">
        <v>935</v>
      </c>
      <c r="AA14">
        <v>253</v>
      </c>
      <c r="AC14">
        <v>112</v>
      </c>
      <c r="AE14">
        <v>136251</v>
      </c>
    </row>
    <row r="15" spans="1:31" x14ac:dyDescent="0.35">
      <c r="A15" s="3" t="s">
        <v>70</v>
      </c>
      <c r="B15">
        <v>359272.29300582979</v>
      </c>
      <c r="C15">
        <v>214086.94639623683</v>
      </c>
      <c r="D15">
        <v>170130.21878949972</v>
      </c>
      <c r="E15">
        <v>74988.341582900335</v>
      </c>
      <c r="F15">
        <v>65095.833209028293</v>
      </c>
      <c r="G15">
        <v>64099.005193400262</v>
      </c>
      <c r="H15">
        <v>51360.06317829906</v>
      </c>
      <c r="I15">
        <v>32534.223106232505</v>
      </c>
      <c r="J15">
        <v>27838.831368267831</v>
      </c>
      <c r="K15">
        <v>25708.731837943727</v>
      </c>
      <c r="L15">
        <v>25365.390382754813</v>
      </c>
      <c r="M15">
        <v>22177.230718016384</v>
      </c>
      <c r="N15">
        <v>20509.08193390453</v>
      </c>
      <c r="O15">
        <v>13259.773450482951</v>
      </c>
      <c r="P15">
        <v>12005.090024712497</v>
      </c>
      <c r="Q15">
        <v>10541.045589913654</v>
      </c>
      <c r="R15">
        <v>10194.350901776637</v>
      </c>
      <c r="S15">
        <v>7731.1002528982381</v>
      </c>
      <c r="T15">
        <v>7051.2124671743941</v>
      </c>
      <c r="U15">
        <v>5959.5842883065261</v>
      </c>
      <c r="V15">
        <v>4671.154379266467</v>
      </c>
      <c r="W15">
        <v>4590.3023710862617</v>
      </c>
      <c r="X15">
        <v>3651.3894503799902</v>
      </c>
      <c r="Y15">
        <v>3637.9802748040124</v>
      </c>
      <c r="Z15">
        <v>3121.3465137614676</v>
      </c>
      <c r="AA15">
        <v>3044.2875105546714</v>
      </c>
      <c r="AB15">
        <v>697.97</v>
      </c>
      <c r="AC15">
        <v>603.43443020240329</v>
      </c>
      <c r="AD15">
        <v>0</v>
      </c>
      <c r="AE15">
        <v>1243926.2126076343</v>
      </c>
    </row>
    <row r="17" spans="1:9" x14ac:dyDescent="0.35">
      <c r="B17" s="4" t="s">
        <v>55</v>
      </c>
      <c r="C17" s="4" t="s">
        <v>23</v>
      </c>
      <c r="D17" s="4" t="s">
        <v>14</v>
      </c>
      <c r="E17" s="4" t="s">
        <v>32</v>
      </c>
      <c r="F17" s="4" t="s">
        <v>44</v>
      </c>
      <c r="G17" s="4" t="s">
        <v>48</v>
      </c>
      <c r="H17" s="4" t="s">
        <v>20</v>
      </c>
      <c r="I17" s="5" t="s">
        <v>75</v>
      </c>
    </row>
    <row r="18" spans="1:9" x14ac:dyDescent="0.35">
      <c r="A18" s="3" t="s">
        <v>87</v>
      </c>
      <c r="B18" s="6">
        <f>B3</f>
        <v>18199.8</v>
      </c>
      <c r="C18" s="6">
        <f t="shared" ref="C18:H18" si="0">C3</f>
        <v>10715</v>
      </c>
      <c r="D18" s="6">
        <f t="shared" si="0"/>
        <v>14722</v>
      </c>
      <c r="E18" s="6">
        <f t="shared" si="0"/>
        <v>2345</v>
      </c>
      <c r="F18" s="6">
        <f t="shared" si="0"/>
        <v>4061.9</v>
      </c>
      <c r="G18" s="6">
        <f t="shared" si="0"/>
        <v>2262.5</v>
      </c>
      <c r="H18" s="6">
        <f t="shared" si="0"/>
        <v>2078.3000000000002</v>
      </c>
      <c r="I18" s="6">
        <f>SUM(I3:AD3)</f>
        <v>14164</v>
      </c>
    </row>
    <row r="19" spans="1:9" x14ac:dyDescent="0.35">
      <c r="A19" s="3" t="s">
        <v>86</v>
      </c>
      <c r="B19" s="6">
        <f t="shared" ref="B19:H26" si="1">B4</f>
        <v>22548.5</v>
      </c>
      <c r="C19" s="6">
        <f t="shared" si="1"/>
        <v>11523.1</v>
      </c>
      <c r="D19" s="6">
        <f t="shared" si="1"/>
        <v>17300</v>
      </c>
      <c r="E19" s="6">
        <f t="shared" si="1"/>
        <v>2546.0329999999999</v>
      </c>
      <c r="F19" s="6">
        <f t="shared" si="1"/>
        <v>4166.8</v>
      </c>
      <c r="G19" s="6">
        <f t="shared" si="1"/>
        <v>3193.3</v>
      </c>
      <c r="H19" s="6">
        <f t="shared" si="1"/>
        <v>2656.6000000000004</v>
      </c>
      <c r="I19" s="6">
        <f t="shared" ref="I19:I26" si="2">SUM(I4:AD4)</f>
        <v>19758.500000000004</v>
      </c>
    </row>
    <row r="20" spans="1:9" x14ac:dyDescent="0.35">
      <c r="A20" s="3" t="s">
        <v>85</v>
      </c>
      <c r="B20" s="6">
        <f t="shared" si="1"/>
        <v>28090.241718889883</v>
      </c>
      <c r="C20" s="6">
        <f t="shared" si="1"/>
        <v>13879.861541021801</v>
      </c>
      <c r="D20" s="6">
        <f t="shared" si="1"/>
        <v>13401.824461960854</v>
      </c>
      <c r="E20" s="6">
        <f t="shared" si="1"/>
        <v>2708.4359605911332</v>
      </c>
      <c r="F20" s="6">
        <f t="shared" si="1"/>
        <v>4621.357602070635</v>
      </c>
      <c r="G20" s="6">
        <f t="shared" si="1"/>
        <v>3352.9282092732751</v>
      </c>
      <c r="H20" s="6">
        <f t="shared" si="1"/>
        <v>3664.7941241440249</v>
      </c>
      <c r="I20" s="6">
        <f t="shared" si="2"/>
        <v>19539.620480409438</v>
      </c>
    </row>
    <row r="21" spans="1:9" x14ac:dyDescent="0.35">
      <c r="A21" s="3" t="s">
        <v>84</v>
      </c>
      <c r="B21" s="6">
        <f t="shared" si="1"/>
        <v>31376.799999999999</v>
      </c>
      <c r="C21" s="6">
        <f t="shared" si="1"/>
        <v>15524.1</v>
      </c>
      <c r="D21" s="6">
        <f t="shared" si="1"/>
        <v>15132</v>
      </c>
      <c r="E21" s="6">
        <f t="shared" si="1"/>
        <v>3518.8</v>
      </c>
      <c r="F21" s="6">
        <f t="shared" si="1"/>
        <v>5535</v>
      </c>
      <c r="G21" s="6">
        <f t="shared" si="1"/>
        <v>4563</v>
      </c>
      <c r="H21" s="6">
        <f t="shared" si="1"/>
        <v>4207.6000000000004</v>
      </c>
      <c r="I21" s="6">
        <f t="shared" si="2"/>
        <v>23288.599999999995</v>
      </c>
    </row>
    <row r="22" spans="1:9" x14ac:dyDescent="0.35">
      <c r="A22" s="3" t="s">
        <v>83</v>
      </c>
      <c r="B22" s="6">
        <f t="shared" si="1"/>
        <v>31979.200000000001</v>
      </c>
      <c r="C22" s="6">
        <f t="shared" si="1"/>
        <v>16743.599999999999</v>
      </c>
      <c r="D22" s="6">
        <f t="shared" si="1"/>
        <v>15132</v>
      </c>
      <c r="E22" s="6">
        <f t="shared" si="1"/>
        <v>3881</v>
      </c>
      <c r="F22" s="6">
        <f t="shared" si="1"/>
        <v>6214.4</v>
      </c>
      <c r="G22" s="6">
        <f t="shared" si="1"/>
        <v>5132.1000000000004</v>
      </c>
      <c r="H22" s="6">
        <f t="shared" si="1"/>
        <v>4630.8999999999996</v>
      </c>
      <c r="I22" s="6">
        <f t="shared" si="2"/>
        <v>24784.5</v>
      </c>
    </row>
    <row r="23" spans="1:9" x14ac:dyDescent="0.35">
      <c r="A23" s="3" t="s">
        <v>82</v>
      </c>
      <c r="B23" s="6">
        <f t="shared" si="1"/>
        <v>31798.799999999999</v>
      </c>
      <c r="C23" s="6">
        <f t="shared" si="1"/>
        <v>19059.8</v>
      </c>
      <c r="D23" s="6">
        <f t="shared" si="1"/>
        <v>13760</v>
      </c>
      <c r="E23" s="6">
        <f t="shared" si="1"/>
        <v>9150.1</v>
      </c>
      <c r="F23" s="6">
        <f t="shared" si="1"/>
        <v>4283.3</v>
      </c>
      <c r="G23" s="6">
        <f t="shared" si="1"/>
        <v>6448.3</v>
      </c>
      <c r="H23" s="6">
        <f t="shared" si="1"/>
        <v>4646.2</v>
      </c>
      <c r="I23" s="6">
        <f t="shared" si="2"/>
        <v>23949.599999999999</v>
      </c>
    </row>
    <row r="24" spans="1:9" x14ac:dyDescent="0.35">
      <c r="A24" s="3" t="s">
        <v>81</v>
      </c>
      <c r="B24" s="6">
        <f t="shared" si="1"/>
        <v>33401.050000000003</v>
      </c>
      <c r="C24" s="6">
        <f t="shared" si="1"/>
        <v>20614.05</v>
      </c>
      <c r="D24" s="6">
        <f t="shared" si="1"/>
        <v>15728</v>
      </c>
      <c r="E24" s="6">
        <f t="shared" si="1"/>
        <v>7766.91</v>
      </c>
      <c r="F24" s="6">
        <f t="shared" si="1"/>
        <v>4932.12</v>
      </c>
      <c r="G24" s="6">
        <f t="shared" si="1"/>
        <v>6246.06</v>
      </c>
      <c r="H24" s="6">
        <f t="shared" si="1"/>
        <v>5301.95</v>
      </c>
      <c r="I24" s="6">
        <f t="shared" si="2"/>
        <v>26621.420000000006</v>
      </c>
    </row>
    <row r="25" spans="1:9" x14ac:dyDescent="0.35">
      <c r="A25" s="3" t="s">
        <v>80</v>
      </c>
      <c r="B25" s="6">
        <f t="shared" si="1"/>
        <v>21707.82</v>
      </c>
      <c r="C25" s="6">
        <f t="shared" si="1"/>
        <v>15955</v>
      </c>
      <c r="D25" s="6">
        <f t="shared" si="1"/>
        <v>6143</v>
      </c>
      <c r="E25" s="6">
        <f t="shared" si="1"/>
        <v>4929</v>
      </c>
      <c r="F25" s="6">
        <f t="shared" si="1"/>
        <v>4464.53</v>
      </c>
      <c r="G25" s="6">
        <f t="shared" si="1"/>
        <v>4276.38</v>
      </c>
      <c r="H25" s="6">
        <f t="shared" si="1"/>
        <v>2791.2799999999997</v>
      </c>
      <c r="I25" s="6">
        <f t="shared" si="2"/>
        <v>16859.439999999999</v>
      </c>
    </row>
    <row r="26" spans="1:9" x14ac:dyDescent="0.35">
      <c r="A26" s="3" t="s">
        <v>79</v>
      </c>
      <c r="B26" s="6">
        <f>B11</f>
        <v>30862.55</v>
      </c>
      <c r="C26" s="6">
        <f t="shared" si="1"/>
        <v>20257</v>
      </c>
      <c r="D26" s="6">
        <f t="shared" si="1"/>
        <v>6576</v>
      </c>
      <c r="E26" s="6">
        <f t="shared" si="1"/>
        <v>7817</v>
      </c>
      <c r="F26" s="6">
        <f t="shared" si="1"/>
        <v>6580.051247983296</v>
      </c>
      <c r="G26" s="6">
        <f t="shared" si="1"/>
        <v>6052.94</v>
      </c>
      <c r="H26" s="6">
        <f t="shared" si="1"/>
        <v>4576.67</v>
      </c>
      <c r="I26" s="6">
        <f t="shared" si="2"/>
        <v>22649.239999999994</v>
      </c>
    </row>
    <row r="27" spans="1:9" x14ac:dyDescent="0.35">
      <c r="A27" s="3" t="s">
        <v>78</v>
      </c>
      <c r="B27" s="6">
        <f t="shared" ref="B27:H27" si="3">B12</f>
        <v>35453.68</v>
      </c>
      <c r="C27" s="6">
        <f t="shared" si="3"/>
        <v>19843</v>
      </c>
      <c r="D27" s="6">
        <f t="shared" si="3"/>
        <v>15538</v>
      </c>
      <c r="E27" s="6">
        <f t="shared" si="3"/>
        <v>7906</v>
      </c>
      <c r="F27" s="6">
        <f t="shared" si="3"/>
        <v>6933.4</v>
      </c>
      <c r="G27" s="6">
        <f t="shared" si="3"/>
        <v>5996.37</v>
      </c>
      <c r="H27" s="6">
        <f t="shared" si="3"/>
        <v>4504.62</v>
      </c>
      <c r="I27" s="6">
        <f t="shared" ref="I27:I29" si="4">SUM(I12:AD12)</f>
        <v>16702.489999999998</v>
      </c>
    </row>
    <row r="28" spans="1:9" x14ac:dyDescent="0.35">
      <c r="A28" s="3" t="s">
        <v>77</v>
      </c>
      <c r="B28" s="6">
        <f t="shared" ref="B28:H28" si="5">B13</f>
        <v>36043.851286939942</v>
      </c>
      <c r="C28" s="6">
        <f t="shared" si="5"/>
        <v>23759.43485521503</v>
      </c>
      <c r="D28" s="6">
        <f t="shared" si="5"/>
        <v>17533.394327538885</v>
      </c>
      <c r="E28" s="6">
        <f t="shared" si="5"/>
        <v>11088.062622309197</v>
      </c>
      <c r="F28" s="6">
        <f t="shared" si="5"/>
        <v>6358.9743589743584</v>
      </c>
      <c r="G28" s="6">
        <f t="shared" si="5"/>
        <v>7334.1269841269841</v>
      </c>
      <c r="H28" s="6">
        <f t="shared" si="5"/>
        <v>5750.149054155032</v>
      </c>
      <c r="I28" s="6">
        <f t="shared" si="4"/>
        <v>17580.100772030524</v>
      </c>
    </row>
    <row r="29" spans="1:9" x14ac:dyDescent="0.35">
      <c r="A29" s="3" t="s">
        <v>76</v>
      </c>
      <c r="B29" s="6">
        <f t="shared" ref="B29:H29" si="6">B14</f>
        <v>37810</v>
      </c>
      <c r="C29" s="6">
        <f t="shared" si="6"/>
        <v>26213</v>
      </c>
      <c r="D29" s="6">
        <f t="shared" si="6"/>
        <v>19164</v>
      </c>
      <c r="E29" s="6">
        <f t="shared" si="6"/>
        <v>11332</v>
      </c>
      <c r="F29" s="6">
        <f t="shared" si="6"/>
        <v>6944</v>
      </c>
      <c r="G29" s="6">
        <f t="shared" si="6"/>
        <v>9241</v>
      </c>
      <c r="H29" s="6">
        <f t="shared" si="6"/>
        <v>6551</v>
      </c>
      <c r="I29" s="6">
        <f t="shared" si="4"/>
        <v>18996</v>
      </c>
    </row>
    <row r="30" spans="1:9" x14ac:dyDescent="0.35">
      <c r="B30" s="7">
        <f>B29/SUM($B$29:$I$29)</f>
        <v>0.27750255043999678</v>
      </c>
      <c r="C30" s="7">
        <f t="shared" ref="C30:I30" si="7">C29/SUM($B$29:$I$29)</f>
        <v>0.19238757880676105</v>
      </c>
      <c r="D30" s="7">
        <f t="shared" si="7"/>
        <v>0.14065217869960586</v>
      </c>
      <c r="E30" s="7">
        <f t="shared" si="7"/>
        <v>8.3170031779583264E-2</v>
      </c>
      <c r="F30" s="7">
        <f t="shared" si="7"/>
        <v>5.0964763561368358E-2</v>
      </c>
      <c r="G30" s="7">
        <f t="shared" si="7"/>
        <v>6.7823355424914314E-2</v>
      </c>
      <c r="H30" s="7">
        <f t="shared" si="7"/>
        <v>4.80803810614234E-2</v>
      </c>
      <c r="I30" s="7">
        <f t="shared" si="7"/>
        <v>0.13941916022634696</v>
      </c>
    </row>
    <row r="34" spans="1:9" x14ac:dyDescent="0.35">
      <c r="A34" s="3"/>
      <c r="B34" s="4" t="s">
        <v>55</v>
      </c>
      <c r="C34" s="4" t="s">
        <v>23</v>
      </c>
      <c r="D34" s="4" t="s">
        <v>14</v>
      </c>
      <c r="E34" s="4" t="s">
        <v>32</v>
      </c>
      <c r="F34" s="4" t="s">
        <v>44</v>
      </c>
      <c r="G34" s="4" t="s">
        <v>48</v>
      </c>
      <c r="H34" s="4" t="s">
        <v>20</v>
      </c>
      <c r="I34" s="5" t="s">
        <v>75</v>
      </c>
    </row>
    <row r="35" spans="1:9" x14ac:dyDescent="0.35">
      <c r="A35" s="3" t="s">
        <v>86</v>
      </c>
      <c r="B35" s="7">
        <f>(B19-B18)/B18</f>
        <v>0.23894218617787014</v>
      </c>
      <c r="C35" s="7">
        <f t="shared" ref="C35:I35" si="8">(C19-C18)/C18</f>
        <v>7.5417638824078426E-2</v>
      </c>
      <c r="D35" s="7">
        <f t="shared" si="8"/>
        <v>0.17511207716342889</v>
      </c>
      <c r="E35" s="7">
        <f t="shared" si="8"/>
        <v>8.5728358208955177E-2</v>
      </c>
      <c r="F35" s="7">
        <f t="shared" si="8"/>
        <v>2.5825352667470911E-2</v>
      </c>
      <c r="G35" s="7">
        <f t="shared" si="8"/>
        <v>0.41140331491712717</v>
      </c>
      <c r="H35" s="7">
        <f t="shared" si="8"/>
        <v>0.27825626714141372</v>
      </c>
      <c r="I35" s="7">
        <f t="shared" si="8"/>
        <v>0.39498023157300222</v>
      </c>
    </row>
    <row r="36" spans="1:9" x14ac:dyDescent="0.35">
      <c r="A36" s="3" t="s">
        <v>85</v>
      </c>
      <c r="B36" s="7">
        <f t="shared" ref="B36:I45" si="9">(B20-B19)/B19</f>
        <v>0.24576986136061749</v>
      </c>
      <c r="C36" s="7">
        <f t="shared" si="9"/>
        <v>0.20452495778235028</v>
      </c>
      <c r="D36" s="7">
        <f t="shared" si="9"/>
        <v>-0.22532806578260958</v>
      </c>
      <c r="E36" s="7">
        <f t="shared" si="9"/>
        <v>6.378666756916869E-2</v>
      </c>
      <c r="F36" s="7">
        <f t="shared" si="9"/>
        <v>0.10909033360627696</v>
      </c>
      <c r="G36" s="7">
        <f t="shared" si="9"/>
        <v>4.9988478775334272E-2</v>
      </c>
      <c r="H36" s="7">
        <f t="shared" si="9"/>
        <v>0.37950542955056249</v>
      </c>
      <c r="I36" s="7">
        <f t="shared" si="9"/>
        <v>-1.1077739686239638E-2</v>
      </c>
    </row>
    <row r="37" spans="1:9" x14ac:dyDescent="0.35">
      <c r="A37" s="3" t="s">
        <v>84</v>
      </c>
      <c r="B37" s="7">
        <f t="shared" si="9"/>
        <v>0.11699999999999998</v>
      </c>
      <c r="C37" s="7">
        <f t="shared" si="9"/>
        <v>0.11846216578736525</v>
      </c>
      <c r="D37" s="7">
        <f t="shared" si="9"/>
        <v>0.12909999999999999</v>
      </c>
      <c r="E37" s="7">
        <f t="shared" si="9"/>
        <v>0.29920000000000002</v>
      </c>
      <c r="F37" s="7">
        <f t="shared" si="9"/>
        <v>0.1977000000000001</v>
      </c>
      <c r="G37" s="7">
        <f t="shared" si="9"/>
        <v>0.36089999999999994</v>
      </c>
      <c r="H37" s="7">
        <f t="shared" si="9"/>
        <v>0.14811360678623578</v>
      </c>
      <c r="I37" s="7">
        <f t="shared" si="9"/>
        <v>0.19186552386466824</v>
      </c>
    </row>
    <row r="38" spans="1:9" x14ac:dyDescent="0.35">
      <c r="A38" s="3" t="s">
        <v>83</v>
      </c>
      <c r="B38" s="7">
        <f t="shared" si="9"/>
        <v>1.9198898549246623E-2</v>
      </c>
      <c r="C38" s="7">
        <f t="shared" si="9"/>
        <v>7.8555278566873318E-2</v>
      </c>
      <c r="D38" s="7">
        <f t="shared" si="9"/>
        <v>0</v>
      </c>
      <c r="E38" s="7">
        <f t="shared" si="9"/>
        <v>0.1029328180061384</v>
      </c>
      <c r="F38" s="7">
        <f t="shared" si="9"/>
        <v>0.12274616079494122</v>
      </c>
      <c r="G38" s="7">
        <f t="shared" si="9"/>
        <v>0.12472057856673249</v>
      </c>
      <c r="H38" s="7">
        <f t="shared" si="9"/>
        <v>0.1006036695503373</v>
      </c>
      <c r="I38" s="7">
        <f t="shared" si="9"/>
        <v>6.4233144113429119E-2</v>
      </c>
    </row>
    <row r="39" spans="1:9" x14ac:dyDescent="0.35">
      <c r="A39" s="3" t="s">
        <v>82</v>
      </c>
      <c r="B39" s="7">
        <f t="shared" si="9"/>
        <v>-5.6411667583930007E-3</v>
      </c>
      <c r="C39" s="7">
        <f t="shared" si="9"/>
        <v>0.13833345278195852</v>
      </c>
      <c r="D39" s="7">
        <f t="shared" si="9"/>
        <v>-9.0668781390430872E-2</v>
      </c>
      <c r="E39" s="7">
        <f t="shared" si="9"/>
        <v>1.3576655501159496</v>
      </c>
      <c r="F39" s="7">
        <f t="shared" si="9"/>
        <v>-0.31074600926879498</v>
      </c>
      <c r="G39" s="7">
        <f t="shared" si="9"/>
        <v>0.2564642154283821</v>
      </c>
      <c r="H39" s="7">
        <f t="shared" si="9"/>
        <v>3.3038934116478833E-3</v>
      </c>
      <c r="I39" s="7">
        <f t="shared" si="9"/>
        <v>-3.3686376565998967E-2</v>
      </c>
    </row>
    <row r="40" spans="1:9" x14ac:dyDescent="0.35">
      <c r="A40" s="3" t="s">
        <v>81</v>
      </c>
      <c r="B40" s="7">
        <f t="shared" si="9"/>
        <v>5.0387121526598605E-2</v>
      </c>
      <c r="C40" s="7">
        <f t="shared" si="9"/>
        <v>8.1545976348125382E-2</v>
      </c>
      <c r="D40" s="7">
        <f t="shared" si="9"/>
        <v>0.14302325581395348</v>
      </c>
      <c r="E40" s="7">
        <f t="shared" si="9"/>
        <v>-0.1511666539163507</v>
      </c>
      <c r="F40" s="7">
        <f t="shared" si="9"/>
        <v>0.15147666518805586</v>
      </c>
      <c r="G40" s="7">
        <f t="shared" si="9"/>
        <v>-3.1363305057146809E-2</v>
      </c>
      <c r="H40" s="7">
        <f t="shared" si="9"/>
        <v>0.14113684301149326</v>
      </c>
      <c r="I40" s="7">
        <f t="shared" si="9"/>
        <v>0.1115601095634168</v>
      </c>
    </row>
    <row r="41" spans="1:9" x14ac:dyDescent="0.35">
      <c r="A41" s="3" t="s">
        <v>80</v>
      </c>
      <c r="B41" s="7">
        <f t="shared" si="9"/>
        <v>-0.35008570089862451</v>
      </c>
      <c r="C41" s="7">
        <f t="shared" si="9"/>
        <v>-0.22601332586270043</v>
      </c>
      <c r="D41" s="7">
        <f t="shared" si="9"/>
        <v>-0.60942268565615465</v>
      </c>
      <c r="E41" s="7">
        <f t="shared" si="9"/>
        <v>-0.36538468966422938</v>
      </c>
      <c r="F41" s="7">
        <f t="shared" si="9"/>
        <v>-9.4805073680283555E-2</v>
      </c>
      <c r="G41" s="7">
        <f t="shared" si="9"/>
        <v>-0.31534759512396615</v>
      </c>
      <c r="H41" s="7">
        <f t="shared" si="9"/>
        <v>-0.47353709484246365</v>
      </c>
      <c r="I41" s="7">
        <f t="shared" si="9"/>
        <v>-0.36669644218828312</v>
      </c>
    </row>
    <row r="42" spans="1:9" x14ac:dyDescent="0.35">
      <c r="A42" s="3" t="s">
        <v>79</v>
      </c>
      <c r="B42" s="7">
        <f t="shared" si="9"/>
        <v>0.42172498205715725</v>
      </c>
      <c r="C42" s="7">
        <f t="shared" si="9"/>
        <v>0.26963334377937953</v>
      </c>
      <c r="D42" s="7">
        <f t="shared" si="9"/>
        <v>7.0486732866677518E-2</v>
      </c>
      <c r="E42" s="7">
        <f t="shared" si="9"/>
        <v>0.58592006492189086</v>
      </c>
      <c r="F42" s="7">
        <f t="shared" si="9"/>
        <v>0.47385083043081722</v>
      </c>
      <c r="G42" s="7">
        <f t="shared" si="9"/>
        <v>0.41543548515333051</v>
      </c>
      <c r="H42" s="7">
        <f t="shared" si="9"/>
        <v>0.63963128027284988</v>
      </c>
      <c r="I42" s="7">
        <f t="shared" si="9"/>
        <v>0.34341591417033995</v>
      </c>
    </row>
    <row r="43" spans="1:9" x14ac:dyDescent="0.35">
      <c r="A43" s="3" t="s">
        <v>78</v>
      </c>
      <c r="B43" s="7">
        <f t="shared" si="9"/>
        <v>0.14876055283831055</v>
      </c>
      <c r="C43" s="7">
        <f t="shared" si="9"/>
        <v>-2.0437379671224762E-2</v>
      </c>
      <c r="D43" s="7">
        <f t="shared" si="9"/>
        <v>1.3628345498783454</v>
      </c>
      <c r="E43" s="7">
        <f t="shared" si="9"/>
        <v>1.1385441985416401E-2</v>
      </c>
      <c r="F43" s="7">
        <f t="shared" si="9"/>
        <v>5.3700000000000102E-2</v>
      </c>
      <c r="G43" s="7">
        <f t="shared" si="9"/>
        <v>-9.3458715929779102E-3</v>
      </c>
      <c r="H43" s="7">
        <f t="shared" si="9"/>
        <v>-1.5742887295784967E-2</v>
      </c>
      <c r="I43" s="7">
        <f t="shared" si="9"/>
        <v>-0.26255847878339394</v>
      </c>
    </row>
    <row r="44" spans="1:9" x14ac:dyDescent="0.35">
      <c r="A44" s="3" t="s">
        <v>77</v>
      </c>
      <c r="B44" s="7">
        <f t="shared" si="9"/>
        <v>1.6646263150678339E-2</v>
      </c>
      <c r="C44" s="7">
        <f t="shared" si="9"/>
        <v>0.19737110594239932</v>
      </c>
      <c r="D44" s="7">
        <f t="shared" si="9"/>
        <v>0.1284202810875843</v>
      </c>
      <c r="E44" s="7">
        <f t="shared" si="9"/>
        <v>0.4024870506335943</v>
      </c>
      <c r="F44" s="7">
        <f t="shared" si="9"/>
        <v>-8.2849055445472816E-2</v>
      </c>
      <c r="G44" s="7">
        <f t="shared" si="9"/>
        <v>0.22309446950855005</v>
      </c>
      <c r="H44" s="7">
        <f t="shared" si="9"/>
        <v>0.27650036055317256</v>
      </c>
      <c r="I44" s="7">
        <f t="shared" si="9"/>
        <v>5.2543708873977857E-2</v>
      </c>
    </row>
    <row r="45" spans="1:9" x14ac:dyDescent="0.35">
      <c r="A45" s="3" t="s">
        <v>76</v>
      </c>
      <c r="B45" s="7">
        <f t="shared" si="9"/>
        <v>4.9000000000000023E-2</v>
      </c>
      <c r="C45" s="7">
        <f t="shared" si="9"/>
        <v>0.1032669825581491</v>
      </c>
      <c r="D45" s="7">
        <f t="shared" si="9"/>
        <v>9.2999999999999944E-2</v>
      </c>
      <c r="E45" s="7">
        <f t="shared" si="9"/>
        <v>2.2000000000000085E-2</v>
      </c>
      <c r="F45" s="7">
        <f t="shared" si="9"/>
        <v>9.2000000000000096E-2</v>
      </c>
      <c r="G45" s="7">
        <f t="shared" si="9"/>
        <v>0.26</v>
      </c>
      <c r="H45" s="7">
        <f t="shared" si="9"/>
        <v>0.13927481501827796</v>
      </c>
      <c r="I45" s="7">
        <f t="shared" si="9"/>
        <v>8.0539881217412249E-2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25EB-55D7-4CC5-9C65-5FFCBFDC4598}">
  <dimension ref="A1:E33"/>
  <sheetViews>
    <sheetView topLeftCell="A8" zoomScale="80" workbookViewId="0">
      <selection activeCell="D7" sqref="D7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55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4603.7</v>
      </c>
      <c r="C4" s="8">
        <v>18199.8</v>
      </c>
      <c r="D4" s="8">
        <v>168.1</v>
      </c>
      <c r="E4" s="8">
        <v>22971.599999999999</v>
      </c>
    </row>
    <row r="5" spans="1:5" x14ac:dyDescent="0.35">
      <c r="A5" s="3" t="s">
        <v>86</v>
      </c>
      <c r="B5" s="8">
        <v>5303</v>
      </c>
      <c r="C5" s="8">
        <v>22548.5</v>
      </c>
      <c r="D5" s="8">
        <v>246.5</v>
      </c>
      <c r="E5" s="8">
        <v>28098</v>
      </c>
    </row>
    <row r="6" spans="1:5" x14ac:dyDescent="0.35">
      <c r="A6" s="3" t="s">
        <v>85</v>
      </c>
      <c r="B6" s="8">
        <v>6404.2264443582781</v>
      </c>
      <c r="C6" s="8">
        <v>28090.241718889883</v>
      </c>
      <c r="D6" s="8">
        <v>254.12703283215711</v>
      </c>
      <c r="E6" s="8">
        <v>34748.595196080314</v>
      </c>
    </row>
    <row r="7" spans="1:5" x14ac:dyDescent="0.35">
      <c r="A7" s="3" t="s">
        <v>84</v>
      </c>
      <c r="B7" s="8">
        <v>6606.6</v>
      </c>
      <c r="C7" s="8">
        <v>31376.799999999999</v>
      </c>
      <c r="D7" s="8">
        <v>414.1</v>
      </c>
      <c r="E7" s="8">
        <v>38397.5</v>
      </c>
    </row>
    <row r="8" spans="1:5" x14ac:dyDescent="0.35">
      <c r="A8" s="3" t="s">
        <v>83</v>
      </c>
      <c r="B8" s="8">
        <v>7081.5</v>
      </c>
      <c r="C8" s="8">
        <v>31979.200000000001</v>
      </c>
      <c r="D8" s="8">
        <v>0</v>
      </c>
      <c r="E8" s="8">
        <v>39060.699999999997</v>
      </c>
    </row>
    <row r="9" spans="1:5" x14ac:dyDescent="0.35">
      <c r="A9" s="3" t="s">
        <v>82</v>
      </c>
      <c r="B9" s="8">
        <v>6698.2</v>
      </c>
      <c r="C9" s="8">
        <v>31798.799999999999</v>
      </c>
      <c r="D9" s="8"/>
      <c r="E9" s="8">
        <v>38497</v>
      </c>
    </row>
    <row r="10" spans="1:5" x14ac:dyDescent="0.35">
      <c r="A10" s="3" t="s">
        <v>81</v>
      </c>
      <c r="B10" s="8">
        <v>7220.73</v>
      </c>
      <c r="C10" s="8">
        <v>33401.050000000003</v>
      </c>
      <c r="D10" s="8"/>
      <c r="E10" s="8">
        <v>40621.78</v>
      </c>
    </row>
    <row r="11" spans="1:5" x14ac:dyDescent="0.35">
      <c r="A11" s="3" t="s">
        <v>80</v>
      </c>
      <c r="B11" s="8">
        <v>6909.01</v>
      </c>
      <c r="C11" s="8">
        <v>21707.82</v>
      </c>
      <c r="D11" s="8"/>
      <c r="E11" s="8">
        <v>28616.83</v>
      </c>
    </row>
    <row r="12" spans="1:5" x14ac:dyDescent="0.35">
      <c r="A12" s="3" t="s">
        <v>79</v>
      </c>
      <c r="B12" s="8">
        <v>7355.91</v>
      </c>
      <c r="C12" s="8">
        <v>30862.55</v>
      </c>
      <c r="D12" s="8"/>
      <c r="E12" s="8">
        <v>38218.46</v>
      </c>
    </row>
    <row r="13" spans="1:5" x14ac:dyDescent="0.35">
      <c r="A13" s="3" t="s">
        <v>78</v>
      </c>
      <c r="B13" s="8">
        <v>7878.86</v>
      </c>
      <c r="C13" s="8">
        <v>35453.68</v>
      </c>
      <c r="D13" s="8"/>
      <c r="E13" s="8">
        <v>43332.54</v>
      </c>
    </row>
    <row r="14" spans="1:5" x14ac:dyDescent="0.35">
      <c r="A14" s="3" t="s">
        <v>77</v>
      </c>
      <c r="B14" s="8">
        <v>7985.0597609561755</v>
      </c>
      <c r="C14" s="8">
        <v>36043.851286939942</v>
      </c>
      <c r="D14" s="8">
        <v>0</v>
      </c>
      <c r="E14" s="8">
        <v>44022.094140249763</v>
      </c>
    </row>
    <row r="15" spans="1:5" x14ac:dyDescent="0.35">
      <c r="A15" s="3" t="s">
        <v>76</v>
      </c>
      <c r="B15" s="8">
        <v>8017</v>
      </c>
      <c r="C15" s="8">
        <v>37810</v>
      </c>
      <c r="D15" s="8"/>
      <c r="E15" s="8">
        <v>45827</v>
      </c>
    </row>
    <row r="16" spans="1:5" x14ac:dyDescent="0.35">
      <c r="A16" s="3" t="s">
        <v>70</v>
      </c>
      <c r="B16" s="8">
        <v>82063.796205314458</v>
      </c>
      <c r="C16" s="8">
        <v>359272.29300582979</v>
      </c>
      <c r="D16" s="8">
        <v>1082.8270328321573</v>
      </c>
      <c r="E16" s="8">
        <v>442412.09933633008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0.23894218617787014</v>
      </c>
      <c r="C21" s="9">
        <f t="shared" ref="C21:C31" si="1">(E5-E4)/E4</f>
        <v>0.2231625137125843</v>
      </c>
    </row>
    <row r="22" spans="1:5" x14ac:dyDescent="0.35">
      <c r="A22" s="3" t="s">
        <v>85</v>
      </c>
      <c r="B22" s="9">
        <f t="shared" si="0"/>
        <v>0.24576986136061749</v>
      </c>
      <c r="C22" s="9">
        <f t="shared" si="1"/>
        <v>0.23669283209055142</v>
      </c>
    </row>
    <row r="23" spans="1:5" x14ac:dyDescent="0.35">
      <c r="A23" s="3" t="s">
        <v>84</v>
      </c>
      <c r="B23" s="9">
        <f t="shared" si="0"/>
        <v>0.11699999999999998</v>
      </c>
      <c r="C23" s="9">
        <f t="shared" si="1"/>
        <v>0.10500869987202496</v>
      </c>
    </row>
    <row r="24" spans="1:5" x14ac:dyDescent="0.35">
      <c r="A24" s="3" t="s">
        <v>83</v>
      </c>
      <c r="B24" s="9">
        <f t="shared" si="0"/>
        <v>1.9198898549246623E-2</v>
      </c>
      <c r="C24" s="9">
        <f t="shared" si="1"/>
        <v>1.7271957809753165E-2</v>
      </c>
    </row>
    <row r="25" spans="1:5" x14ac:dyDescent="0.35">
      <c r="A25" s="3" t="s">
        <v>82</v>
      </c>
      <c r="B25" s="9">
        <f t="shared" si="0"/>
        <v>-5.6411667583930007E-3</v>
      </c>
      <c r="C25" s="9">
        <f t="shared" si="1"/>
        <v>-1.4431384998220645E-2</v>
      </c>
    </row>
    <row r="26" spans="1:5" x14ac:dyDescent="0.35">
      <c r="A26" s="3" t="s">
        <v>81</v>
      </c>
      <c r="B26" s="9">
        <f t="shared" si="0"/>
        <v>5.0387121526598605E-2</v>
      </c>
      <c r="C26" s="9">
        <f t="shared" si="1"/>
        <v>5.5193391692859153E-2</v>
      </c>
    </row>
    <row r="27" spans="1:5" x14ac:dyDescent="0.35">
      <c r="A27" s="3" t="s">
        <v>80</v>
      </c>
      <c r="B27" s="9">
        <f t="shared" si="0"/>
        <v>-0.35008570089862451</v>
      </c>
      <c r="C27" s="9">
        <f t="shared" si="1"/>
        <v>-0.29552988569186278</v>
      </c>
    </row>
    <row r="28" spans="1:5" x14ac:dyDescent="0.35">
      <c r="A28" s="3" t="s">
        <v>79</v>
      </c>
      <c r="B28" s="9">
        <f t="shared" si="0"/>
        <v>0.42172498205715725</v>
      </c>
      <c r="C28" s="9">
        <f t="shared" si="1"/>
        <v>0.33552388576931813</v>
      </c>
    </row>
    <row r="29" spans="1:5" x14ac:dyDescent="0.35">
      <c r="A29" s="3" t="s">
        <v>78</v>
      </c>
      <c r="B29" s="9">
        <f t="shared" si="0"/>
        <v>0.14876055283831055</v>
      </c>
      <c r="C29" s="9">
        <f t="shared" si="1"/>
        <v>0.13381177577537143</v>
      </c>
    </row>
    <row r="30" spans="1:5" x14ac:dyDescent="0.35">
      <c r="A30" s="3" t="s">
        <v>77</v>
      </c>
      <c r="B30" s="9">
        <f t="shared" si="0"/>
        <v>1.6646263150678339E-2</v>
      </c>
      <c r="C30" s="9">
        <f t="shared" si="1"/>
        <v>1.5913079183674947E-2</v>
      </c>
    </row>
    <row r="31" spans="1:5" x14ac:dyDescent="0.35">
      <c r="A31" s="3" t="s">
        <v>76</v>
      </c>
      <c r="B31" s="9">
        <f t="shared" si="0"/>
        <v>4.9000000000000023E-2</v>
      </c>
      <c r="C31" s="9">
        <f t="shared" si="1"/>
        <v>4.0999999999999925E-2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0B79-7D40-404B-ACD9-6FE5EBF30259}">
  <dimension ref="A1:E33"/>
  <sheetViews>
    <sheetView workbookViewId="0">
      <selection activeCell="D11" sqref="D11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23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5086</v>
      </c>
      <c r="C4" s="8">
        <v>10715</v>
      </c>
      <c r="D4" s="8">
        <v>2174</v>
      </c>
      <c r="E4" s="8">
        <v>17975</v>
      </c>
    </row>
    <row r="5" spans="1:5" x14ac:dyDescent="0.35">
      <c r="A5" s="3" t="s">
        <v>86</v>
      </c>
      <c r="B5" s="8">
        <v>4957.8</v>
      </c>
      <c r="C5" s="8">
        <v>11523.1</v>
      </c>
      <c r="D5" s="8">
        <v>2108.5</v>
      </c>
      <c r="E5" s="8">
        <v>18589.400000000001</v>
      </c>
    </row>
    <row r="6" spans="1:5" x14ac:dyDescent="0.35">
      <c r="A6" s="3" t="s">
        <v>85</v>
      </c>
      <c r="B6" s="8">
        <v>5022.2068607966821</v>
      </c>
      <c r="C6" s="8">
        <v>13879.861541021801</v>
      </c>
      <c r="D6" s="8">
        <v>2058.9572023734377</v>
      </c>
      <c r="E6" s="8">
        <v>20961.02560419192</v>
      </c>
    </row>
    <row r="7" spans="1:5" x14ac:dyDescent="0.35">
      <c r="A7" s="3" t="s">
        <v>84</v>
      </c>
      <c r="B7" s="8">
        <v>5812.2</v>
      </c>
      <c r="C7" s="8">
        <v>15524.1</v>
      </c>
      <c r="D7" s="8">
        <v>1630.9</v>
      </c>
      <c r="E7" s="8">
        <v>22967.200000000001</v>
      </c>
    </row>
    <row r="8" spans="1:5" x14ac:dyDescent="0.35">
      <c r="A8" s="3" t="s">
        <v>83</v>
      </c>
      <c r="B8" s="8">
        <v>6006.9</v>
      </c>
      <c r="C8" s="8">
        <v>16743.599999999999</v>
      </c>
      <c r="D8" s="8">
        <v>1739.1</v>
      </c>
      <c r="E8" s="8">
        <v>24489.599999999999</v>
      </c>
    </row>
    <row r="9" spans="1:5" x14ac:dyDescent="0.35">
      <c r="A9" s="3" t="s">
        <v>82</v>
      </c>
      <c r="B9" s="8">
        <v>6351.7</v>
      </c>
      <c r="C9" s="8">
        <v>19059.8</v>
      </c>
      <c r="D9" s="8">
        <v>1647.5</v>
      </c>
      <c r="E9" s="8">
        <v>27059</v>
      </c>
    </row>
    <row r="10" spans="1:5" x14ac:dyDescent="0.35">
      <c r="A10" s="3" t="s">
        <v>81</v>
      </c>
      <c r="B10" s="8">
        <v>6924.31</v>
      </c>
      <c r="C10" s="8">
        <v>20614.05</v>
      </c>
      <c r="D10" s="8">
        <v>1937.94</v>
      </c>
      <c r="E10" s="8">
        <v>29476.3</v>
      </c>
    </row>
    <row r="11" spans="1:5" x14ac:dyDescent="0.35">
      <c r="A11" s="3" t="s">
        <v>80</v>
      </c>
      <c r="B11" s="8">
        <v>6141</v>
      </c>
      <c r="C11" s="8">
        <v>15955</v>
      </c>
      <c r="D11" s="8">
        <v>1533</v>
      </c>
      <c r="E11" s="8">
        <v>23629</v>
      </c>
    </row>
    <row r="12" spans="1:5" x14ac:dyDescent="0.35">
      <c r="A12" s="3" t="s">
        <v>79</v>
      </c>
      <c r="B12" s="8">
        <v>6673</v>
      </c>
      <c r="C12" s="8">
        <v>20257</v>
      </c>
      <c r="D12" s="8">
        <v>1889</v>
      </c>
      <c r="E12" s="8">
        <v>28819</v>
      </c>
    </row>
    <row r="13" spans="1:5" x14ac:dyDescent="0.35">
      <c r="A13" s="3" t="s">
        <v>78</v>
      </c>
      <c r="B13" s="8">
        <v>7315</v>
      </c>
      <c r="C13" s="8">
        <v>19843</v>
      </c>
      <c r="D13" s="8">
        <v>2461</v>
      </c>
      <c r="E13" s="8">
        <v>29619</v>
      </c>
    </row>
    <row r="14" spans="1:5" x14ac:dyDescent="0.35">
      <c r="A14" s="3" t="s">
        <v>77</v>
      </c>
      <c r="B14" s="8">
        <v>8032.934131736527</v>
      </c>
      <c r="C14" s="8">
        <v>23759.43485521503</v>
      </c>
      <c r="D14" s="8">
        <v>2123.6559139784945</v>
      </c>
      <c r="E14" s="8">
        <v>33915.377836349384</v>
      </c>
    </row>
    <row r="15" spans="1:5" x14ac:dyDescent="0.35">
      <c r="A15" s="3" t="s">
        <v>76</v>
      </c>
      <c r="B15" s="8">
        <v>8049</v>
      </c>
      <c r="C15" s="8">
        <v>26213</v>
      </c>
      <c r="D15" s="8">
        <v>1580</v>
      </c>
      <c r="E15" s="8">
        <v>35842</v>
      </c>
    </row>
    <row r="16" spans="1:5" x14ac:dyDescent="0.35">
      <c r="A16" s="3" t="s">
        <v>70</v>
      </c>
      <c r="B16" s="8">
        <v>76372.050992533201</v>
      </c>
      <c r="C16" s="8">
        <v>214086.94639623683</v>
      </c>
      <c r="D16" s="8">
        <v>22883.553116351934</v>
      </c>
      <c r="E16" s="8">
        <v>313341.9034405413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7.5417638824078426E-2</v>
      </c>
      <c r="C21" s="9">
        <f t="shared" ref="C21:C31" si="1">(E5-E4)/E4</f>
        <v>3.4180806675938882E-2</v>
      </c>
    </row>
    <row r="22" spans="1:5" x14ac:dyDescent="0.35">
      <c r="A22" s="3" t="s">
        <v>85</v>
      </c>
      <c r="B22" s="9">
        <f t="shared" si="0"/>
        <v>0.20452495778235028</v>
      </c>
      <c r="C22" s="9">
        <f t="shared" si="1"/>
        <v>0.12757945948723029</v>
      </c>
    </row>
    <row r="23" spans="1:5" x14ac:dyDescent="0.35">
      <c r="A23" s="3" t="s">
        <v>84</v>
      </c>
      <c r="B23" s="9">
        <f t="shared" si="0"/>
        <v>0.11846216578736525</v>
      </c>
      <c r="C23" s="9">
        <f t="shared" si="1"/>
        <v>9.5709744059797958E-2</v>
      </c>
    </row>
    <row r="24" spans="1:5" x14ac:dyDescent="0.35">
      <c r="A24" s="3" t="s">
        <v>83</v>
      </c>
      <c r="B24" s="9">
        <f t="shared" si="0"/>
        <v>7.8555278566873318E-2</v>
      </c>
      <c r="C24" s="9">
        <f t="shared" si="1"/>
        <v>6.6285833710682959E-2</v>
      </c>
    </row>
    <row r="25" spans="1:5" x14ac:dyDescent="0.35">
      <c r="A25" s="3" t="s">
        <v>82</v>
      </c>
      <c r="B25" s="9">
        <f t="shared" si="0"/>
        <v>0.13833345278195852</v>
      </c>
      <c r="C25" s="9">
        <f t="shared" si="1"/>
        <v>0.10491800601071481</v>
      </c>
    </row>
    <row r="26" spans="1:5" x14ac:dyDescent="0.35">
      <c r="A26" s="3" t="s">
        <v>81</v>
      </c>
      <c r="B26" s="9">
        <f t="shared" si="0"/>
        <v>8.1545976348125382E-2</v>
      </c>
      <c r="C26" s="9">
        <f t="shared" si="1"/>
        <v>8.9334417384234421E-2</v>
      </c>
    </row>
    <row r="27" spans="1:5" x14ac:dyDescent="0.35">
      <c r="A27" s="3" t="s">
        <v>80</v>
      </c>
      <c r="B27" s="9">
        <f t="shared" si="0"/>
        <v>-0.22601332586270043</v>
      </c>
      <c r="C27" s="9">
        <f t="shared" si="1"/>
        <v>-0.19837293011673784</v>
      </c>
    </row>
    <row r="28" spans="1:5" x14ac:dyDescent="0.35">
      <c r="A28" s="3" t="s">
        <v>79</v>
      </c>
      <c r="B28" s="9">
        <f t="shared" si="0"/>
        <v>0.26963334377937953</v>
      </c>
      <c r="C28" s="9">
        <f t="shared" si="1"/>
        <v>0.21964535105167379</v>
      </c>
    </row>
    <row r="29" spans="1:5" x14ac:dyDescent="0.35">
      <c r="A29" s="3" t="s">
        <v>78</v>
      </c>
      <c r="B29" s="9">
        <f t="shared" si="0"/>
        <v>-2.0437379671224762E-2</v>
      </c>
      <c r="C29" s="9">
        <f t="shared" si="1"/>
        <v>2.7759464242340121E-2</v>
      </c>
    </row>
    <row r="30" spans="1:5" x14ac:dyDescent="0.35">
      <c r="A30" s="3" t="s">
        <v>77</v>
      </c>
      <c r="B30" s="9">
        <f t="shared" si="0"/>
        <v>0.19737110594239932</v>
      </c>
      <c r="C30" s="9">
        <f t="shared" si="1"/>
        <v>0.14505479038284155</v>
      </c>
    </row>
    <row r="31" spans="1:5" x14ac:dyDescent="0.35">
      <c r="A31" s="3" t="s">
        <v>76</v>
      </c>
      <c r="B31" s="9">
        <f t="shared" si="0"/>
        <v>0.1032669825581491</v>
      </c>
      <c r="C31" s="9">
        <f t="shared" si="1"/>
        <v>5.6806743328854381E-2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50F5-4D78-43B2-9CA2-B0F722D62294}">
  <dimension ref="A1:E33"/>
  <sheetViews>
    <sheetView workbookViewId="0">
      <selection activeCell="D11" sqref="D11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14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5132</v>
      </c>
      <c r="C4" s="8">
        <v>14722</v>
      </c>
      <c r="D4" s="8">
        <v>738</v>
      </c>
      <c r="E4" s="8">
        <v>20592</v>
      </c>
    </row>
    <row r="5" spans="1:5" x14ac:dyDescent="0.35">
      <c r="A5" s="3" t="s">
        <v>86</v>
      </c>
      <c r="B5" s="8">
        <v>6200</v>
      </c>
      <c r="C5" s="8">
        <v>17300</v>
      </c>
      <c r="D5" s="8">
        <v>220</v>
      </c>
      <c r="E5" s="8">
        <v>23720</v>
      </c>
    </row>
    <row r="6" spans="1:5" x14ac:dyDescent="0.35">
      <c r="A6" s="3" t="s">
        <v>85</v>
      </c>
      <c r="B6" s="8">
        <v>9484.0723400348852</v>
      </c>
      <c r="C6" s="8">
        <v>13401.824461960854</v>
      </c>
      <c r="D6" s="8">
        <v>197.01008228068142</v>
      </c>
      <c r="E6" s="8">
        <v>23082.906884276421</v>
      </c>
    </row>
    <row r="7" spans="1:5" x14ac:dyDescent="0.35">
      <c r="A7" s="3" t="s">
        <v>84</v>
      </c>
      <c r="B7" s="8">
        <v>10331</v>
      </c>
      <c r="C7" s="8">
        <v>15132</v>
      </c>
      <c r="D7" s="8">
        <v>170</v>
      </c>
      <c r="E7" s="8">
        <v>25633</v>
      </c>
    </row>
    <row r="8" spans="1:5" x14ac:dyDescent="0.35">
      <c r="A8" s="3" t="s">
        <v>83</v>
      </c>
      <c r="B8" s="8">
        <v>10208</v>
      </c>
      <c r="C8" s="8">
        <v>15132</v>
      </c>
      <c r="D8" s="8">
        <v>170</v>
      </c>
      <c r="E8" s="8">
        <v>25510</v>
      </c>
    </row>
    <row r="9" spans="1:5" x14ac:dyDescent="0.35">
      <c r="A9" s="3" t="s">
        <v>82</v>
      </c>
      <c r="B9" s="8">
        <v>9908</v>
      </c>
      <c r="C9" s="8">
        <v>13760</v>
      </c>
      <c r="D9" s="8">
        <v>304</v>
      </c>
      <c r="E9" s="8">
        <v>23972</v>
      </c>
    </row>
    <row r="10" spans="1:5" x14ac:dyDescent="0.35">
      <c r="A10" s="3" t="s">
        <v>81</v>
      </c>
      <c r="B10" s="8">
        <v>10500</v>
      </c>
      <c r="C10" s="8">
        <v>15728</v>
      </c>
      <c r="D10" s="8">
        <v>590</v>
      </c>
      <c r="E10" s="8">
        <v>26818</v>
      </c>
    </row>
    <row r="11" spans="1:5" x14ac:dyDescent="0.35">
      <c r="A11" s="3" t="s">
        <v>80</v>
      </c>
      <c r="B11" s="8">
        <v>5769</v>
      </c>
      <c r="C11" s="8">
        <v>6143</v>
      </c>
      <c r="D11" s="8">
        <v>112</v>
      </c>
      <c r="E11" s="8">
        <v>12024</v>
      </c>
    </row>
    <row r="12" spans="1:5" x14ac:dyDescent="0.35">
      <c r="A12" s="3" t="s">
        <v>79</v>
      </c>
      <c r="B12" s="8">
        <v>5936</v>
      </c>
      <c r="C12" s="8">
        <v>6576</v>
      </c>
      <c r="D12" s="8">
        <v>744</v>
      </c>
      <c r="E12" s="8">
        <v>13256</v>
      </c>
    </row>
    <row r="13" spans="1:5" x14ac:dyDescent="0.35">
      <c r="A13" s="3" t="s">
        <v>78</v>
      </c>
      <c r="B13" s="8">
        <v>6292</v>
      </c>
      <c r="C13" s="8">
        <v>15538</v>
      </c>
      <c r="D13" s="8">
        <v>380</v>
      </c>
      <c r="E13" s="8">
        <v>22210</v>
      </c>
    </row>
    <row r="14" spans="1:5" x14ac:dyDescent="0.35">
      <c r="A14" s="3" t="s">
        <v>77</v>
      </c>
      <c r="B14" s="8">
        <v>12288.407163053724</v>
      </c>
      <c r="C14" s="8">
        <v>17533.394327538885</v>
      </c>
      <c r="D14" s="8">
        <v>247.99081515499427</v>
      </c>
      <c r="E14" s="8">
        <v>30072.356215213356</v>
      </c>
    </row>
    <row r="15" spans="1:5" x14ac:dyDescent="0.35">
      <c r="A15" s="3" t="s">
        <v>76</v>
      </c>
      <c r="B15" s="8">
        <v>13038</v>
      </c>
      <c r="C15" s="8">
        <v>19164</v>
      </c>
      <c r="D15" s="8">
        <v>216</v>
      </c>
      <c r="E15" s="8">
        <v>32418</v>
      </c>
    </row>
    <row r="16" spans="1:5" x14ac:dyDescent="0.35">
      <c r="A16" s="3" t="s">
        <v>70</v>
      </c>
      <c r="B16" s="8">
        <v>105086.4795030886</v>
      </c>
      <c r="C16" s="8">
        <v>170130.21878949972</v>
      </c>
      <c r="D16" s="8">
        <v>4089.0008974356761</v>
      </c>
      <c r="E16" s="8">
        <v>279308.26309948979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0.17511207716342889</v>
      </c>
      <c r="C21" s="9">
        <f t="shared" ref="C21:C31" si="1">(E5-E4)/E4</f>
        <v>0.1519036519036519</v>
      </c>
    </row>
    <row r="22" spans="1:5" x14ac:dyDescent="0.35">
      <c r="A22" s="3" t="s">
        <v>85</v>
      </c>
      <c r="B22" s="9">
        <f t="shared" si="0"/>
        <v>-0.22532806578260958</v>
      </c>
      <c r="C22" s="9">
        <f t="shared" si="1"/>
        <v>-2.6858900325614634E-2</v>
      </c>
    </row>
    <row r="23" spans="1:5" x14ac:dyDescent="0.35">
      <c r="A23" s="3" t="s">
        <v>84</v>
      </c>
      <c r="B23" s="9">
        <f t="shared" si="0"/>
        <v>0.12909999999999999</v>
      </c>
      <c r="C23" s="9">
        <f t="shared" si="1"/>
        <v>0.11047538893208669</v>
      </c>
    </row>
    <row r="24" spans="1:5" x14ac:dyDescent="0.35">
      <c r="A24" s="3" t="s">
        <v>83</v>
      </c>
      <c r="B24" s="9">
        <f t="shared" si="0"/>
        <v>0</v>
      </c>
      <c r="C24" s="9">
        <f t="shared" si="1"/>
        <v>-4.7985019311044359E-3</v>
      </c>
    </row>
    <row r="25" spans="1:5" x14ac:dyDescent="0.35">
      <c r="A25" s="3" t="s">
        <v>82</v>
      </c>
      <c r="B25" s="9">
        <f t="shared" si="0"/>
        <v>-9.0668781390430872E-2</v>
      </c>
      <c r="C25" s="9">
        <f t="shared" si="1"/>
        <v>-6.0290082320658564E-2</v>
      </c>
    </row>
    <row r="26" spans="1:5" x14ac:dyDescent="0.35">
      <c r="A26" s="3" t="s">
        <v>81</v>
      </c>
      <c r="B26" s="9">
        <f t="shared" si="0"/>
        <v>0.14302325581395348</v>
      </c>
      <c r="C26" s="9">
        <f t="shared" si="1"/>
        <v>0.11872184214917404</v>
      </c>
    </row>
    <row r="27" spans="1:5" x14ac:dyDescent="0.35">
      <c r="A27" s="3" t="s">
        <v>80</v>
      </c>
      <c r="B27" s="9">
        <f t="shared" si="0"/>
        <v>-0.60942268565615465</v>
      </c>
      <c r="C27" s="9">
        <f t="shared" si="1"/>
        <v>-0.55164441792825714</v>
      </c>
    </row>
    <row r="28" spans="1:5" x14ac:dyDescent="0.35">
      <c r="A28" s="3" t="s">
        <v>79</v>
      </c>
      <c r="B28" s="9">
        <f t="shared" si="0"/>
        <v>7.0486732866677518E-2</v>
      </c>
      <c r="C28" s="9">
        <f t="shared" si="1"/>
        <v>0.10246174318030606</v>
      </c>
    </row>
    <row r="29" spans="1:5" x14ac:dyDescent="0.35">
      <c r="A29" s="3" t="s">
        <v>78</v>
      </c>
      <c r="B29" s="9">
        <f t="shared" si="0"/>
        <v>1.3628345498783454</v>
      </c>
      <c r="C29" s="9">
        <f t="shared" si="1"/>
        <v>0.67546771273385642</v>
      </c>
    </row>
    <row r="30" spans="1:5" x14ac:dyDescent="0.35">
      <c r="A30" s="3" t="s">
        <v>77</v>
      </c>
      <c r="B30" s="9">
        <f t="shared" si="0"/>
        <v>0.1284202810875843</v>
      </c>
      <c r="C30" s="9">
        <f t="shared" si="1"/>
        <v>0.35400073008614841</v>
      </c>
    </row>
    <row r="31" spans="1:5" x14ac:dyDescent="0.35">
      <c r="A31" s="3" t="s">
        <v>76</v>
      </c>
      <c r="B31" s="9">
        <f t="shared" si="0"/>
        <v>9.2999999999999944E-2</v>
      </c>
      <c r="C31" s="9">
        <f t="shared" si="1"/>
        <v>7.8000000000000055E-2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76E3-2FC1-42A5-BF4E-5547A270B342}">
  <dimension ref="A1:E33"/>
  <sheetViews>
    <sheetView workbookViewId="0">
      <selection activeCell="D13" sqref="D13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32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2934</v>
      </c>
      <c r="C4" s="8">
        <v>2345</v>
      </c>
      <c r="D4" s="8">
        <v>1989</v>
      </c>
      <c r="E4" s="8">
        <v>7268</v>
      </c>
    </row>
    <row r="5" spans="1:5" x14ac:dyDescent="0.35">
      <c r="A5" s="3" t="s">
        <v>86</v>
      </c>
      <c r="B5" s="8">
        <v>3107.9920000000002</v>
      </c>
      <c r="C5" s="8">
        <v>2546.0329999999999</v>
      </c>
      <c r="D5" s="8">
        <v>2025.0129999999999</v>
      </c>
      <c r="E5" s="8">
        <v>7679</v>
      </c>
    </row>
    <row r="6" spans="1:5" x14ac:dyDescent="0.35">
      <c r="A6" s="3" t="s">
        <v>85</v>
      </c>
      <c r="B6" s="8">
        <v>3371.2696941612603</v>
      </c>
      <c r="C6" s="8">
        <v>2708.4359605911332</v>
      </c>
      <c r="D6" s="8">
        <v>1859.2426252934572</v>
      </c>
      <c r="E6" s="8">
        <v>7938.9482800458509</v>
      </c>
    </row>
    <row r="7" spans="1:5" x14ac:dyDescent="0.35">
      <c r="A7" s="3" t="s">
        <v>84</v>
      </c>
      <c r="B7" s="8">
        <v>3637.6</v>
      </c>
      <c r="C7" s="8">
        <v>3518.8</v>
      </c>
      <c r="D7" s="8">
        <v>1821.5</v>
      </c>
      <c r="E7" s="8">
        <v>8977.9</v>
      </c>
    </row>
    <row r="8" spans="1:5" x14ac:dyDescent="0.35">
      <c r="A8" s="3" t="s">
        <v>83</v>
      </c>
      <c r="B8" s="8">
        <v>3773</v>
      </c>
      <c r="C8" s="8">
        <v>3881</v>
      </c>
      <c r="D8" s="8">
        <v>1952</v>
      </c>
      <c r="E8" s="8">
        <v>9606</v>
      </c>
    </row>
    <row r="9" spans="1:5" x14ac:dyDescent="0.35">
      <c r="A9" s="3" t="s">
        <v>82</v>
      </c>
      <c r="B9" s="8">
        <v>4448.8999999999996</v>
      </c>
      <c r="C9" s="8">
        <v>9150.1</v>
      </c>
      <c r="D9" s="8">
        <v>2052.4</v>
      </c>
      <c r="E9" s="8">
        <v>15651.4</v>
      </c>
    </row>
    <row r="10" spans="1:5" x14ac:dyDescent="0.35">
      <c r="A10" s="3" t="s">
        <v>81</v>
      </c>
      <c r="B10" s="8">
        <v>4655.26</v>
      </c>
      <c r="C10" s="8">
        <v>7766.91</v>
      </c>
      <c r="D10" s="8">
        <v>1871.12</v>
      </c>
      <c r="E10" s="8">
        <v>14293.29</v>
      </c>
    </row>
    <row r="11" spans="1:5" x14ac:dyDescent="0.35">
      <c r="A11" s="3" t="s">
        <v>80</v>
      </c>
      <c r="B11" s="8">
        <v>3459</v>
      </c>
      <c r="C11" s="8">
        <v>4929</v>
      </c>
      <c r="D11" s="8">
        <v>1242</v>
      </c>
      <c r="E11" s="8">
        <v>9630</v>
      </c>
    </row>
    <row r="12" spans="1:5" x14ac:dyDescent="0.35">
      <c r="A12" s="3" t="s">
        <v>79</v>
      </c>
      <c r="B12" s="8">
        <v>5208</v>
      </c>
      <c r="C12" s="8">
        <v>7817</v>
      </c>
      <c r="D12" s="8">
        <v>1503</v>
      </c>
      <c r="E12" s="8">
        <v>14528</v>
      </c>
    </row>
    <row r="13" spans="1:5" x14ac:dyDescent="0.35">
      <c r="A13" s="3" t="s">
        <v>78</v>
      </c>
      <c r="B13" s="8">
        <v>6119</v>
      </c>
      <c r="C13" s="8">
        <v>7906</v>
      </c>
      <c r="D13" s="8">
        <v>1475</v>
      </c>
      <c r="E13" s="8">
        <v>15500</v>
      </c>
    </row>
    <row r="14" spans="1:5" x14ac:dyDescent="0.35">
      <c r="A14" s="3" t="s">
        <v>77</v>
      </c>
      <c r="B14" s="8">
        <v>5702.8061224489793</v>
      </c>
      <c r="C14" s="8">
        <v>11088.062622309197</v>
      </c>
      <c r="D14" s="8">
        <v>1219.0305206463195</v>
      </c>
      <c r="E14" s="8">
        <v>18007.34522560336</v>
      </c>
    </row>
    <row r="15" spans="1:5" x14ac:dyDescent="0.35">
      <c r="A15" s="3" t="s">
        <v>76</v>
      </c>
      <c r="B15" s="8">
        <v>4471</v>
      </c>
      <c r="C15" s="8">
        <v>11332</v>
      </c>
      <c r="D15" s="8">
        <v>1358</v>
      </c>
      <c r="E15" s="8">
        <v>17161</v>
      </c>
    </row>
    <row r="16" spans="1:5" x14ac:dyDescent="0.35">
      <c r="A16" s="3" t="s">
        <v>70</v>
      </c>
      <c r="B16" s="8">
        <v>50887.827816610246</v>
      </c>
      <c r="C16" s="8">
        <v>74988.341582900335</v>
      </c>
      <c r="D16" s="8">
        <v>20367.306145939776</v>
      </c>
      <c r="E16" s="8">
        <v>146240.88350564922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8.5728358208955177E-2</v>
      </c>
      <c r="C21" s="9">
        <f t="shared" ref="C21:C31" si="1">(E5-E4)/E4</f>
        <v>5.6549257017061087E-2</v>
      </c>
    </row>
    <row r="22" spans="1:5" x14ac:dyDescent="0.35">
      <c r="A22" s="3" t="s">
        <v>85</v>
      </c>
      <c r="B22" s="9">
        <f t="shared" si="0"/>
        <v>6.378666756916869E-2</v>
      </c>
      <c r="C22" s="9">
        <f t="shared" si="1"/>
        <v>3.3851840089315133E-2</v>
      </c>
    </row>
    <row r="23" spans="1:5" x14ac:dyDescent="0.35">
      <c r="A23" s="3" t="s">
        <v>84</v>
      </c>
      <c r="B23" s="9">
        <f t="shared" si="0"/>
        <v>0.29920000000000002</v>
      </c>
      <c r="C23" s="9">
        <f t="shared" si="1"/>
        <v>0.1308676770908688</v>
      </c>
    </row>
    <row r="24" spans="1:5" x14ac:dyDescent="0.35">
      <c r="A24" s="3" t="s">
        <v>83</v>
      </c>
      <c r="B24" s="9">
        <f t="shared" si="0"/>
        <v>0.1029328180061384</v>
      </c>
      <c r="C24" s="9">
        <f t="shared" si="1"/>
        <v>6.9960681228349655E-2</v>
      </c>
    </row>
    <row r="25" spans="1:5" x14ac:dyDescent="0.35">
      <c r="A25" s="3" t="s">
        <v>82</v>
      </c>
      <c r="B25" s="9">
        <f t="shared" si="0"/>
        <v>1.3576655501159496</v>
      </c>
      <c r="C25" s="9">
        <f t="shared" si="1"/>
        <v>0.6293358317718093</v>
      </c>
    </row>
    <row r="26" spans="1:5" x14ac:dyDescent="0.35">
      <c r="A26" s="3" t="s">
        <v>81</v>
      </c>
      <c r="B26" s="9">
        <f t="shared" si="0"/>
        <v>-0.1511666539163507</v>
      </c>
      <c r="C26" s="9">
        <f t="shared" si="1"/>
        <v>-8.677242930344882E-2</v>
      </c>
    </row>
    <row r="27" spans="1:5" x14ac:dyDescent="0.35">
      <c r="A27" s="3" t="s">
        <v>80</v>
      </c>
      <c r="B27" s="9">
        <f t="shared" si="0"/>
        <v>-0.36538468966422938</v>
      </c>
      <c r="C27" s="9">
        <f t="shared" si="1"/>
        <v>-0.32625728576136082</v>
      </c>
    </row>
    <row r="28" spans="1:5" x14ac:dyDescent="0.35">
      <c r="A28" s="3" t="s">
        <v>79</v>
      </c>
      <c r="B28" s="9">
        <f t="shared" si="0"/>
        <v>0.58592006492189086</v>
      </c>
      <c r="C28" s="9">
        <f t="shared" si="1"/>
        <v>0.50861889927310489</v>
      </c>
    </row>
    <row r="29" spans="1:5" x14ac:dyDescent="0.35">
      <c r="A29" s="3" t="s">
        <v>78</v>
      </c>
      <c r="B29" s="9">
        <f t="shared" si="0"/>
        <v>1.1385441985416401E-2</v>
      </c>
      <c r="C29" s="9">
        <f t="shared" si="1"/>
        <v>6.6905286343612341E-2</v>
      </c>
    </row>
    <row r="30" spans="1:5" x14ac:dyDescent="0.35">
      <c r="A30" s="3" t="s">
        <v>77</v>
      </c>
      <c r="B30" s="9">
        <f t="shared" si="0"/>
        <v>0.4024870506335943</v>
      </c>
      <c r="C30" s="9">
        <f t="shared" si="1"/>
        <v>0.16176420810344255</v>
      </c>
    </row>
    <row r="31" spans="1:5" x14ac:dyDescent="0.35">
      <c r="A31" s="3" t="s">
        <v>76</v>
      </c>
      <c r="B31" s="9">
        <f t="shared" si="0"/>
        <v>2.2000000000000085E-2</v>
      </c>
      <c r="C31" s="9">
        <f t="shared" si="1"/>
        <v>-4.7000000000000104E-2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C40A-0018-4A4D-8F39-1C496F1AF6B9}">
  <dimension ref="A1:E33"/>
  <sheetViews>
    <sheetView workbookViewId="0">
      <selection activeCell="E8" sqref="E8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44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1344</v>
      </c>
      <c r="C4" s="8">
        <v>2262.5</v>
      </c>
      <c r="D4" s="8">
        <v>212.8</v>
      </c>
      <c r="E4" s="8">
        <v>3819.3</v>
      </c>
    </row>
    <row r="5" spans="1:5" x14ac:dyDescent="0.35">
      <c r="A5" s="3" t="s">
        <v>86</v>
      </c>
      <c r="B5" s="8">
        <v>1742.2</v>
      </c>
      <c r="C5" s="8">
        <v>3193.3</v>
      </c>
      <c r="D5" s="8">
        <v>106</v>
      </c>
      <c r="E5" s="8">
        <v>5041.3999999999996</v>
      </c>
    </row>
    <row r="6" spans="1:5" x14ac:dyDescent="0.35">
      <c r="A6" s="3" t="s">
        <v>85</v>
      </c>
      <c r="B6" s="8">
        <v>1944.6743628839031</v>
      </c>
      <c r="C6" s="8">
        <v>3352.9282092732751</v>
      </c>
      <c r="D6" s="8">
        <v>162.16216216216213</v>
      </c>
      <c r="E6" s="8">
        <v>5459.7647343193412</v>
      </c>
    </row>
    <row r="7" spans="1:5" x14ac:dyDescent="0.35">
      <c r="A7" s="3" t="s">
        <v>84</v>
      </c>
      <c r="B7" s="8">
        <v>1785.6</v>
      </c>
      <c r="C7" s="8">
        <v>4563</v>
      </c>
      <c r="D7" s="8">
        <v>78.599999999999994</v>
      </c>
      <c r="E7" s="8">
        <v>6427.2000000000007</v>
      </c>
    </row>
    <row r="8" spans="1:5" x14ac:dyDescent="0.35">
      <c r="A8" s="3" t="s">
        <v>83</v>
      </c>
      <c r="B8" s="8">
        <v>2104</v>
      </c>
      <c r="C8" s="8">
        <v>5132.1000000000004</v>
      </c>
      <c r="D8" s="8">
        <v>87.8</v>
      </c>
      <c r="E8" s="8">
        <v>7323.9000000000005</v>
      </c>
    </row>
    <row r="9" spans="1:5" x14ac:dyDescent="0.35">
      <c r="A9" s="3" t="s">
        <v>82</v>
      </c>
      <c r="B9" s="8">
        <v>2617.6</v>
      </c>
      <c r="C9" s="8">
        <v>6448.3</v>
      </c>
      <c r="D9" s="8">
        <v>65</v>
      </c>
      <c r="E9" s="8">
        <v>9130.9</v>
      </c>
    </row>
    <row r="10" spans="1:5" x14ac:dyDescent="0.35">
      <c r="A10" s="3" t="s">
        <v>81</v>
      </c>
      <c r="B10" s="8">
        <v>2681.72</v>
      </c>
      <c r="C10" s="8">
        <v>6246.06</v>
      </c>
      <c r="D10" s="8">
        <v>86.41</v>
      </c>
      <c r="E10" s="8">
        <v>9014.19</v>
      </c>
    </row>
    <row r="11" spans="1:5" x14ac:dyDescent="0.35">
      <c r="A11" s="3" t="s">
        <v>80</v>
      </c>
      <c r="B11" s="8">
        <v>2365.61</v>
      </c>
      <c r="C11" s="8">
        <v>4276.38</v>
      </c>
      <c r="D11" s="8">
        <v>101.41</v>
      </c>
      <c r="E11" s="8">
        <v>6743.4</v>
      </c>
    </row>
    <row r="12" spans="1:5" x14ac:dyDescent="0.35">
      <c r="A12" s="3" t="s">
        <v>79</v>
      </c>
      <c r="B12" s="8">
        <v>2822.85</v>
      </c>
      <c r="C12" s="8">
        <v>6052.94</v>
      </c>
      <c r="D12" s="8">
        <v>60.58</v>
      </c>
      <c r="E12" s="8">
        <v>8936.369999999999</v>
      </c>
    </row>
    <row r="13" spans="1:5" x14ac:dyDescent="0.35">
      <c r="A13" s="3" t="s">
        <v>78</v>
      </c>
      <c r="B13" s="8">
        <v>2936.33</v>
      </c>
      <c r="C13" s="8">
        <v>5996.37</v>
      </c>
      <c r="D13" s="8">
        <v>49.73</v>
      </c>
      <c r="E13" s="8">
        <v>8982.43</v>
      </c>
    </row>
    <row r="14" spans="1:5" x14ac:dyDescent="0.35">
      <c r="A14" s="3" t="s">
        <v>77</v>
      </c>
      <c r="B14" s="8">
        <v>2909.0098126672615</v>
      </c>
      <c r="C14" s="8">
        <v>7334.1269841269841</v>
      </c>
      <c r="D14" s="8">
        <v>64.00742115027829</v>
      </c>
      <c r="E14" s="8">
        <v>10304.098360655738</v>
      </c>
    </row>
    <row r="15" spans="1:5" x14ac:dyDescent="0.35">
      <c r="A15" s="3" t="s">
        <v>76</v>
      </c>
      <c r="B15" s="8">
        <v>3261</v>
      </c>
      <c r="C15" s="8">
        <v>9241</v>
      </c>
      <c r="D15" s="8">
        <v>69</v>
      </c>
      <c r="E15" s="8">
        <v>12571</v>
      </c>
    </row>
    <row r="16" spans="1:5" x14ac:dyDescent="0.35">
      <c r="A16" s="3" t="s">
        <v>70</v>
      </c>
      <c r="B16" s="8">
        <v>28514.594175551159</v>
      </c>
      <c r="C16" s="8">
        <v>64099.005193400262</v>
      </c>
      <c r="D16" s="8">
        <v>1143.4995833124403</v>
      </c>
      <c r="E16" s="8">
        <v>93753.953094975092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0.41140331491712717</v>
      </c>
      <c r="C21" s="9">
        <f t="shared" ref="C21:C31" si="1">(E5-E4)/E4</f>
        <v>0.31998010106564012</v>
      </c>
    </row>
    <row r="22" spans="1:5" x14ac:dyDescent="0.35">
      <c r="A22" s="3" t="s">
        <v>85</v>
      </c>
      <c r="B22" s="9">
        <f t="shared" si="0"/>
        <v>4.9988478775334272E-2</v>
      </c>
      <c r="C22" s="9">
        <f t="shared" si="1"/>
        <v>8.2985824239168005E-2</v>
      </c>
    </row>
    <row r="23" spans="1:5" x14ac:dyDescent="0.35">
      <c r="A23" s="3" t="s">
        <v>84</v>
      </c>
      <c r="B23" s="9">
        <f t="shared" si="0"/>
        <v>0.36089999999999994</v>
      </c>
      <c r="C23" s="9">
        <f t="shared" si="1"/>
        <v>0.17719358118116199</v>
      </c>
    </row>
    <row r="24" spans="1:5" x14ac:dyDescent="0.35">
      <c r="A24" s="3" t="s">
        <v>83</v>
      </c>
      <c r="B24" s="9">
        <f t="shared" si="0"/>
        <v>0.12472057856673249</v>
      </c>
      <c r="C24" s="9">
        <f t="shared" si="1"/>
        <v>0.13951643017176993</v>
      </c>
    </row>
    <row r="25" spans="1:5" x14ac:dyDescent="0.35">
      <c r="A25" s="3" t="s">
        <v>82</v>
      </c>
      <c r="B25" s="9">
        <f t="shared" si="0"/>
        <v>0.2564642154283821</v>
      </c>
      <c r="C25" s="9">
        <f t="shared" si="1"/>
        <v>0.24672647086934543</v>
      </c>
    </row>
    <row r="26" spans="1:5" x14ac:dyDescent="0.35">
      <c r="A26" s="3" t="s">
        <v>81</v>
      </c>
      <c r="B26" s="9">
        <f t="shared" si="0"/>
        <v>-3.1363305057146809E-2</v>
      </c>
      <c r="C26" s="9">
        <f t="shared" si="1"/>
        <v>-1.2781872542684635E-2</v>
      </c>
    </row>
    <row r="27" spans="1:5" x14ac:dyDescent="0.35">
      <c r="A27" s="3" t="s">
        <v>80</v>
      </c>
      <c r="B27" s="9">
        <f t="shared" si="0"/>
        <v>-0.31534759512396615</v>
      </c>
      <c r="C27" s="9">
        <f t="shared" si="1"/>
        <v>-0.25191281745780825</v>
      </c>
    </row>
    <row r="28" spans="1:5" x14ac:dyDescent="0.35">
      <c r="A28" s="3" t="s">
        <v>79</v>
      </c>
      <c r="B28" s="9">
        <f t="shared" si="0"/>
        <v>0.41543548515333051</v>
      </c>
      <c r="C28" s="9">
        <f t="shared" si="1"/>
        <v>0.32520242014414086</v>
      </c>
    </row>
    <row r="29" spans="1:5" x14ac:dyDescent="0.35">
      <c r="A29" s="3" t="s">
        <v>78</v>
      </c>
      <c r="B29" s="9">
        <f t="shared" si="0"/>
        <v>-9.3458715929779102E-3</v>
      </c>
      <c r="C29" s="9">
        <f t="shared" si="1"/>
        <v>5.1542180997431073E-3</v>
      </c>
    </row>
    <row r="30" spans="1:5" x14ac:dyDescent="0.35">
      <c r="A30" s="3" t="s">
        <v>77</v>
      </c>
      <c r="B30" s="9">
        <f t="shared" si="0"/>
        <v>0.22309446950855005</v>
      </c>
      <c r="C30" s="9">
        <f t="shared" si="1"/>
        <v>0.14713928866194761</v>
      </c>
    </row>
    <row r="31" spans="1:5" x14ac:dyDescent="0.35">
      <c r="A31" s="3" t="s">
        <v>76</v>
      </c>
      <c r="B31" s="9">
        <f t="shared" si="0"/>
        <v>0.26</v>
      </c>
      <c r="C31" s="9">
        <f t="shared" si="1"/>
        <v>0.21999999999999992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0B2C-BC99-4D4F-B1B3-29FAD9EDCC0E}">
  <dimension ref="A1:E33"/>
  <sheetViews>
    <sheetView workbookViewId="0">
      <selection activeCell="P32" sqref="P32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48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1823.1</v>
      </c>
      <c r="C4" s="8">
        <v>4061.9</v>
      </c>
      <c r="D4" s="8">
        <v>20.7</v>
      </c>
      <c r="E4" s="8">
        <v>5905.8</v>
      </c>
    </row>
    <row r="5" spans="1:5" x14ac:dyDescent="0.35">
      <c r="A5" s="3" t="s">
        <v>86</v>
      </c>
      <c r="B5" s="8">
        <v>1830.5</v>
      </c>
      <c r="C5" s="8">
        <v>4166.8</v>
      </c>
      <c r="D5" s="8">
        <v>1.3</v>
      </c>
      <c r="E5" s="8">
        <v>5998.7</v>
      </c>
    </row>
    <row r="6" spans="1:5" x14ac:dyDescent="0.35">
      <c r="A6" s="3" t="s">
        <v>85</v>
      </c>
      <c r="B6" s="8">
        <v>1839.1691940079036</v>
      </c>
      <c r="C6" s="8">
        <v>4621.357602070635</v>
      </c>
      <c r="D6" s="8">
        <v>3.6610878661087867</v>
      </c>
      <c r="E6" s="8">
        <v>6464.1878839446472</v>
      </c>
    </row>
    <row r="7" spans="1:5" x14ac:dyDescent="0.35">
      <c r="A7" s="3" t="s">
        <v>84</v>
      </c>
      <c r="B7" s="8">
        <v>2001.2</v>
      </c>
      <c r="C7" s="8">
        <v>5535</v>
      </c>
      <c r="D7" s="8">
        <v>1.4</v>
      </c>
      <c r="E7" s="8">
        <v>7537.5999999999995</v>
      </c>
    </row>
    <row r="8" spans="1:5" x14ac:dyDescent="0.35">
      <c r="A8" s="3" t="s">
        <v>83</v>
      </c>
      <c r="B8" s="8">
        <v>2094.1</v>
      </c>
      <c r="C8" s="8">
        <v>6214.4</v>
      </c>
      <c r="D8" s="8">
        <v>3.4</v>
      </c>
      <c r="E8" s="8">
        <v>8311.9</v>
      </c>
    </row>
    <row r="9" spans="1:5" x14ac:dyDescent="0.35">
      <c r="A9" s="3" t="s">
        <v>82</v>
      </c>
      <c r="B9" s="8">
        <v>1373.1</v>
      </c>
      <c r="C9" s="8">
        <v>4283.3</v>
      </c>
      <c r="D9" s="8">
        <v>3.4</v>
      </c>
      <c r="E9" s="8">
        <v>5659.7999999999993</v>
      </c>
    </row>
    <row r="10" spans="1:5" x14ac:dyDescent="0.35">
      <c r="A10" s="3" t="s">
        <v>81</v>
      </c>
      <c r="B10" s="8">
        <v>1972.15</v>
      </c>
      <c r="C10" s="8">
        <v>4932.12</v>
      </c>
      <c r="D10" s="8">
        <v>2.5</v>
      </c>
      <c r="E10" s="8">
        <v>6906.77</v>
      </c>
    </row>
    <row r="11" spans="1:5" x14ac:dyDescent="0.35">
      <c r="A11" s="3" t="s">
        <v>80</v>
      </c>
      <c r="B11" s="8">
        <v>1856.6</v>
      </c>
      <c r="C11" s="8">
        <v>4464.53</v>
      </c>
      <c r="D11" s="8">
        <v>1.03</v>
      </c>
      <c r="E11" s="8">
        <v>6322.1599999999989</v>
      </c>
    </row>
    <row r="12" spans="1:5" x14ac:dyDescent="0.35">
      <c r="A12" s="3" t="s">
        <v>79</v>
      </c>
      <c r="B12" s="8">
        <v>2001.1736641221373</v>
      </c>
      <c r="C12" s="8">
        <v>6580.051247983296</v>
      </c>
      <c r="D12" s="8">
        <v>5.4366888810943523</v>
      </c>
      <c r="E12" s="8">
        <v>8586.6616009865284</v>
      </c>
    </row>
    <row r="13" spans="1:5" x14ac:dyDescent="0.35">
      <c r="A13" s="3" t="s">
        <v>78</v>
      </c>
      <c r="B13" s="8">
        <v>2097.23</v>
      </c>
      <c r="C13" s="8">
        <v>6933.4</v>
      </c>
      <c r="D13" s="8">
        <v>6.2</v>
      </c>
      <c r="E13" s="8">
        <v>9036.83</v>
      </c>
    </row>
    <row r="14" spans="1:5" x14ac:dyDescent="0.35">
      <c r="A14" s="3" t="s">
        <v>77</v>
      </c>
      <c r="B14" s="8">
        <v>2133.0275229357799</v>
      </c>
      <c r="C14" s="8">
        <v>6358.9743589743584</v>
      </c>
      <c r="D14" s="8">
        <v>17.04545454545454</v>
      </c>
      <c r="E14" s="8">
        <v>8509.1787439613527</v>
      </c>
    </row>
    <row r="15" spans="1:5" x14ac:dyDescent="0.35">
      <c r="A15" s="3" t="s">
        <v>76</v>
      </c>
      <c r="B15" s="8">
        <v>1860</v>
      </c>
      <c r="C15" s="8">
        <v>6944</v>
      </c>
      <c r="D15" s="8">
        <v>3</v>
      </c>
      <c r="E15" s="8">
        <v>8807</v>
      </c>
    </row>
    <row r="16" spans="1:5" x14ac:dyDescent="0.35">
      <c r="A16" s="3" t="s">
        <v>70</v>
      </c>
      <c r="B16" s="8">
        <v>22881.350381065819</v>
      </c>
      <c r="C16" s="8">
        <v>65095.833209028293</v>
      </c>
      <c r="D16" s="8">
        <v>69.073231292657681</v>
      </c>
      <c r="E16" s="8">
        <v>88046.588228892535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2.5825352667470911E-2</v>
      </c>
      <c r="C21" s="9">
        <f t="shared" ref="C21:C31" si="1">(E5-E4)/E4</f>
        <v>1.5730299028074036E-2</v>
      </c>
    </row>
    <row r="22" spans="1:5" x14ac:dyDescent="0.35">
      <c r="A22" s="3" t="s">
        <v>85</v>
      </c>
      <c r="B22" s="9">
        <f t="shared" si="0"/>
        <v>0.10909033360627696</v>
      </c>
      <c r="C22" s="9">
        <f t="shared" si="1"/>
        <v>7.7598126918273516E-2</v>
      </c>
    </row>
    <row r="23" spans="1:5" x14ac:dyDescent="0.35">
      <c r="A23" s="3" t="s">
        <v>84</v>
      </c>
      <c r="B23" s="9">
        <f t="shared" si="0"/>
        <v>0.1977000000000001</v>
      </c>
      <c r="C23" s="9">
        <f t="shared" si="1"/>
        <v>0.16605521611174504</v>
      </c>
    </row>
    <row r="24" spans="1:5" x14ac:dyDescent="0.35">
      <c r="A24" s="3" t="s">
        <v>83</v>
      </c>
      <c r="B24" s="9">
        <f t="shared" si="0"/>
        <v>0.12274616079494122</v>
      </c>
      <c r="C24" s="9">
        <f t="shared" si="1"/>
        <v>0.10272500530672897</v>
      </c>
    </row>
    <row r="25" spans="1:5" x14ac:dyDescent="0.35">
      <c r="A25" s="3" t="s">
        <v>82</v>
      </c>
      <c r="B25" s="9">
        <f t="shared" si="0"/>
        <v>-0.31074600926879498</v>
      </c>
      <c r="C25" s="9">
        <f t="shared" si="1"/>
        <v>-0.31907265486832137</v>
      </c>
    </row>
    <row r="26" spans="1:5" x14ac:dyDescent="0.35">
      <c r="A26" s="3" t="s">
        <v>81</v>
      </c>
      <c r="B26" s="9">
        <f t="shared" si="0"/>
        <v>0.15147666518805586</v>
      </c>
      <c r="C26" s="9">
        <f t="shared" si="1"/>
        <v>0.2203205060249481</v>
      </c>
    </row>
    <row r="27" spans="1:5" x14ac:dyDescent="0.35">
      <c r="A27" s="3" t="s">
        <v>80</v>
      </c>
      <c r="B27" s="9">
        <f t="shared" si="0"/>
        <v>-9.4805073680283555E-2</v>
      </c>
      <c r="C27" s="9">
        <f t="shared" si="1"/>
        <v>-8.4643038641796592E-2</v>
      </c>
    </row>
    <row r="28" spans="1:5" x14ac:dyDescent="0.35">
      <c r="A28" s="3" t="s">
        <v>79</v>
      </c>
      <c r="B28" s="9">
        <f t="shared" si="0"/>
        <v>0.47385083043081722</v>
      </c>
      <c r="C28" s="9">
        <f t="shared" si="1"/>
        <v>0.35818479775686313</v>
      </c>
    </row>
    <row r="29" spans="1:5" x14ac:dyDescent="0.35">
      <c r="A29" s="3" t="s">
        <v>78</v>
      </c>
      <c r="B29" s="9">
        <f t="shared" si="0"/>
        <v>5.3700000000000102E-2</v>
      </c>
      <c r="C29" s="9">
        <f t="shared" si="1"/>
        <v>5.2426474913341334E-2</v>
      </c>
    </row>
    <row r="30" spans="1:5" x14ac:dyDescent="0.35">
      <c r="A30" s="3" t="s">
        <v>77</v>
      </c>
      <c r="B30" s="9">
        <f t="shared" si="0"/>
        <v>-8.2849055445472816E-2</v>
      </c>
      <c r="C30" s="9">
        <f t="shared" si="1"/>
        <v>-5.838897666976664E-2</v>
      </c>
    </row>
    <row r="31" spans="1:5" x14ac:dyDescent="0.35">
      <c r="A31" s="3" t="s">
        <v>76</v>
      </c>
      <c r="B31" s="9">
        <f t="shared" si="0"/>
        <v>9.2000000000000096E-2</v>
      </c>
      <c r="C31" s="9">
        <f t="shared" si="1"/>
        <v>3.4999999999999996E-2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D515-3E4C-49BF-B0D5-2B3119EDF6C7}">
  <dimension ref="A1:E33"/>
  <sheetViews>
    <sheetView workbookViewId="0">
      <selection activeCell="C4" sqref="C4:C15"/>
    </sheetView>
  </sheetViews>
  <sheetFormatPr defaultColWidth="10.90625" defaultRowHeight="14.5" x14ac:dyDescent="0.35"/>
  <cols>
    <col min="1" max="1" width="17.81640625" bestFit="1" customWidth="1"/>
    <col min="2" max="2" width="25.81640625" bestFit="1" customWidth="1"/>
    <col min="3" max="3" width="23.7265625" bestFit="1" customWidth="1"/>
    <col min="4" max="4" width="26.1796875" bestFit="1" customWidth="1"/>
    <col min="5" max="5" width="20.26953125" bestFit="1" customWidth="1"/>
  </cols>
  <sheetData>
    <row r="1" spans="1:5" x14ac:dyDescent="0.35">
      <c r="A1" s="2" t="s">
        <v>0</v>
      </c>
      <c r="B1" t="s">
        <v>20</v>
      </c>
    </row>
    <row r="3" spans="1:5" x14ac:dyDescent="0.35">
      <c r="A3" s="2" t="s">
        <v>69</v>
      </c>
      <c r="B3" t="s">
        <v>71</v>
      </c>
      <c r="C3" t="s">
        <v>73</v>
      </c>
      <c r="D3" t="s">
        <v>88</v>
      </c>
      <c r="E3" t="s">
        <v>74</v>
      </c>
    </row>
    <row r="4" spans="1:5" x14ac:dyDescent="0.35">
      <c r="A4" s="3" t="s">
        <v>87</v>
      </c>
      <c r="B4" s="8">
        <v>1007.6</v>
      </c>
      <c r="C4" s="8">
        <v>2078.3000000000002</v>
      </c>
      <c r="D4" s="8">
        <v>480</v>
      </c>
      <c r="E4" s="8">
        <v>3565.9</v>
      </c>
    </row>
    <row r="5" spans="1:5" x14ac:dyDescent="0.35">
      <c r="A5" s="3" t="s">
        <v>86</v>
      </c>
      <c r="B5" s="8">
        <v>1336.3</v>
      </c>
      <c r="C5" s="8">
        <v>2656.6000000000004</v>
      </c>
      <c r="D5" s="8">
        <v>520.70000000000005</v>
      </c>
      <c r="E5" s="8">
        <v>4513.6000000000004</v>
      </c>
    </row>
    <row r="6" spans="1:5" x14ac:dyDescent="0.35">
      <c r="A6" s="3" t="s">
        <v>85</v>
      </c>
      <c r="B6" s="8">
        <v>1530.4161304161305</v>
      </c>
      <c r="C6" s="8">
        <v>3664.7941241440249</v>
      </c>
      <c r="D6" s="8">
        <v>487.86292241789624</v>
      </c>
      <c r="E6" s="8">
        <v>5683.0731769780523</v>
      </c>
    </row>
    <row r="7" spans="1:5" x14ac:dyDescent="0.35">
      <c r="A7" s="3" t="s">
        <v>84</v>
      </c>
      <c r="B7" s="8">
        <v>1783.7</v>
      </c>
      <c r="C7" s="8">
        <v>4207.6000000000004</v>
      </c>
      <c r="D7" s="8">
        <v>410</v>
      </c>
      <c r="E7" s="8">
        <v>6401.3</v>
      </c>
    </row>
    <row r="8" spans="1:5" x14ac:dyDescent="0.35">
      <c r="A8" s="3" t="s">
        <v>83</v>
      </c>
      <c r="B8" s="8">
        <v>2446</v>
      </c>
      <c r="C8" s="8">
        <v>4630.8999999999996</v>
      </c>
      <c r="D8" s="8">
        <v>592.6</v>
      </c>
      <c r="E8" s="8">
        <v>7669.5</v>
      </c>
    </row>
    <row r="9" spans="1:5" x14ac:dyDescent="0.35">
      <c r="A9" s="3" t="s">
        <v>82</v>
      </c>
      <c r="B9" s="8">
        <v>2790.9</v>
      </c>
      <c r="C9" s="8">
        <v>4646.2</v>
      </c>
      <c r="D9" s="8">
        <v>405.1</v>
      </c>
      <c r="E9" s="8">
        <v>7842.2000000000007</v>
      </c>
    </row>
    <row r="10" spans="1:5" x14ac:dyDescent="0.35">
      <c r="A10" s="3" t="s">
        <v>81</v>
      </c>
      <c r="B10" s="8">
        <v>3335.34</v>
      </c>
      <c r="C10" s="8">
        <v>5301.95</v>
      </c>
      <c r="D10" s="8">
        <v>505.36</v>
      </c>
      <c r="E10" s="8">
        <v>9142.65</v>
      </c>
    </row>
    <row r="11" spans="1:5" x14ac:dyDescent="0.35">
      <c r="A11" s="3" t="s">
        <v>80</v>
      </c>
      <c r="B11" s="8">
        <v>2028.18</v>
      </c>
      <c r="C11" s="8">
        <v>2791.2799999999997</v>
      </c>
      <c r="D11" s="8">
        <v>398.11</v>
      </c>
      <c r="E11" s="8">
        <v>5217.57</v>
      </c>
    </row>
    <row r="12" spans="1:5" x14ac:dyDescent="0.35">
      <c r="A12" s="3" t="s">
        <v>79</v>
      </c>
      <c r="B12" s="8">
        <v>2467.63</v>
      </c>
      <c r="C12" s="8">
        <v>4576.67</v>
      </c>
      <c r="D12" s="8">
        <v>491.36</v>
      </c>
      <c r="E12" s="8">
        <v>7535.66</v>
      </c>
    </row>
    <row r="13" spans="1:5" x14ac:dyDescent="0.35">
      <c r="A13" s="3" t="s">
        <v>78</v>
      </c>
      <c r="B13" s="8">
        <v>2956.24</v>
      </c>
      <c r="C13" s="8">
        <v>4504.62</v>
      </c>
      <c r="D13" s="8">
        <v>330.13</v>
      </c>
      <c r="E13" s="8">
        <v>7790.99</v>
      </c>
    </row>
    <row r="14" spans="1:5" x14ac:dyDescent="0.35">
      <c r="A14" s="3" t="s">
        <v>77</v>
      </c>
      <c r="B14" s="8">
        <v>3025.2182347235698</v>
      </c>
      <c r="C14" s="8">
        <v>5750.149054155032</v>
      </c>
      <c r="D14" s="8">
        <v>230.93922651933701</v>
      </c>
      <c r="E14" s="8">
        <v>9007.8157926854074</v>
      </c>
    </row>
    <row r="15" spans="1:5" x14ac:dyDescent="0.35">
      <c r="A15" s="3" t="s">
        <v>76</v>
      </c>
      <c r="B15" s="8">
        <v>3119</v>
      </c>
      <c r="C15" s="8">
        <v>6551</v>
      </c>
      <c r="D15" s="8">
        <v>209</v>
      </c>
      <c r="E15" s="8">
        <v>9879</v>
      </c>
    </row>
    <row r="16" spans="1:5" x14ac:dyDescent="0.35">
      <c r="A16" s="3" t="s">
        <v>70</v>
      </c>
      <c r="B16" s="8">
        <v>27826.5243651397</v>
      </c>
      <c r="C16" s="8">
        <v>51360.06317829906</v>
      </c>
      <c r="D16" s="8">
        <v>5061.1621489372337</v>
      </c>
      <c r="E16" s="8">
        <v>84249.258969663468</v>
      </c>
    </row>
    <row r="20" spans="1:5" x14ac:dyDescent="0.35">
      <c r="B20" t="s">
        <v>89</v>
      </c>
      <c r="C20" t="s">
        <v>90</v>
      </c>
    </row>
    <row r="21" spans="1:5" x14ac:dyDescent="0.35">
      <c r="A21" s="3" t="s">
        <v>86</v>
      </c>
      <c r="B21" s="9">
        <f t="shared" ref="B21:B31" si="0">(C5-C4)/C4</f>
        <v>0.27825626714141372</v>
      </c>
      <c r="C21" s="9">
        <f t="shared" ref="C21:C31" si="1">(E5-E4)/E4</f>
        <v>0.26576740794750281</v>
      </c>
    </row>
    <row r="22" spans="1:5" x14ac:dyDescent="0.35">
      <c r="A22" s="3" t="s">
        <v>85</v>
      </c>
      <c r="B22" s="9">
        <f t="shared" si="0"/>
        <v>0.37950542955056249</v>
      </c>
      <c r="C22" s="9">
        <f t="shared" si="1"/>
        <v>0.25909987082994768</v>
      </c>
    </row>
    <row r="23" spans="1:5" x14ac:dyDescent="0.35">
      <c r="A23" s="3" t="s">
        <v>84</v>
      </c>
      <c r="B23" s="9">
        <f t="shared" si="0"/>
        <v>0.14811360678623578</v>
      </c>
      <c r="C23" s="9">
        <f t="shared" si="1"/>
        <v>0.12638000614376421</v>
      </c>
    </row>
    <row r="24" spans="1:5" x14ac:dyDescent="0.35">
      <c r="A24" s="3" t="s">
        <v>83</v>
      </c>
      <c r="B24" s="9">
        <f t="shared" si="0"/>
        <v>0.1006036695503373</v>
      </c>
      <c r="C24" s="9">
        <f t="shared" si="1"/>
        <v>0.19811600768593876</v>
      </c>
    </row>
    <row r="25" spans="1:5" x14ac:dyDescent="0.35">
      <c r="A25" s="3" t="s">
        <v>82</v>
      </c>
      <c r="B25" s="9">
        <f t="shared" si="0"/>
        <v>3.3038934116478833E-3</v>
      </c>
      <c r="C25" s="9">
        <f t="shared" si="1"/>
        <v>2.2517765173740236E-2</v>
      </c>
    </row>
    <row r="26" spans="1:5" x14ac:dyDescent="0.35">
      <c r="A26" s="3" t="s">
        <v>81</v>
      </c>
      <c r="B26" s="9">
        <f t="shared" si="0"/>
        <v>0.14113684301149326</v>
      </c>
      <c r="C26" s="9">
        <f t="shared" si="1"/>
        <v>0.1658271913493661</v>
      </c>
    </row>
    <row r="27" spans="1:5" x14ac:dyDescent="0.35">
      <c r="A27" s="3" t="s">
        <v>80</v>
      </c>
      <c r="B27" s="9">
        <f t="shared" si="0"/>
        <v>-0.47353709484246365</v>
      </c>
      <c r="C27" s="9">
        <f t="shared" si="1"/>
        <v>-0.42931535167593643</v>
      </c>
    </row>
    <row r="28" spans="1:5" x14ac:dyDescent="0.35">
      <c r="A28" s="3" t="s">
        <v>79</v>
      </c>
      <c r="B28" s="9">
        <f t="shared" si="0"/>
        <v>0.63963128027284988</v>
      </c>
      <c r="C28" s="9">
        <f t="shared" si="1"/>
        <v>0.44428536655952872</v>
      </c>
    </row>
    <row r="29" spans="1:5" x14ac:dyDescent="0.35">
      <c r="A29" s="3" t="s">
        <v>78</v>
      </c>
      <c r="B29" s="9">
        <f t="shared" si="0"/>
        <v>-1.5742887295784967E-2</v>
      </c>
      <c r="C29" s="9">
        <f t="shared" si="1"/>
        <v>3.3882898113768392E-2</v>
      </c>
    </row>
    <row r="30" spans="1:5" x14ac:dyDescent="0.35">
      <c r="A30" s="3" t="s">
        <v>77</v>
      </c>
      <c r="B30" s="9">
        <f t="shared" si="0"/>
        <v>0.27650036055317256</v>
      </c>
      <c r="C30" s="9">
        <f t="shared" si="1"/>
        <v>0.15618371897350755</v>
      </c>
    </row>
    <row r="31" spans="1:5" x14ac:dyDescent="0.35">
      <c r="A31" s="3" t="s">
        <v>76</v>
      </c>
      <c r="B31" s="9">
        <f t="shared" si="0"/>
        <v>0.13927481501827796</v>
      </c>
      <c r="C31" s="9">
        <f t="shared" si="1"/>
        <v>9.6714256526206729E-2</v>
      </c>
    </row>
    <row r="32" spans="1:5" x14ac:dyDescent="0.35">
      <c r="B32" s="7"/>
      <c r="C32" s="7"/>
      <c r="D32" s="7"/>
      <c r="E32" s="7"/>
    </row>
    <row r="33" spans="2:5" x14ac:dyDescent="0.35">
      <c r="B33" s="7"/>
      <c r="C33" s="7"/>
      <c r="D33" s="7"/>
      <c r="E33" s="7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Índice</vt:lpstr>
      <vt:lpstr>Data</vt:lpstr>
      <vt:lpstr>EU</vt:lpstr>
      <vt:lpstr>Leasing (Maq+Veh+Inmob)</vt:lpstr>
      <vt:lpstr>Leasing (Vehículos)</vt:lpstr>
      <vt:lpstr>UK</vt:lpstr>
      <vt:lpstr>FR</vt:lpstr>
      <vt:lpstr>DE</vt:lpstr>
      <vt:lpstr>IT</vt:lpstr>
      <vt:lpstr>PL</vt:lpstr>
      <vt:lpstr>SE</vt:lpstr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Llamas Nuñez</dc:creator>
  <cp:lastModifiedBy>Juan Carlos Llamas Nuñez</cp:lastModifiedBy>
  <dcterms:created xsi:type="dcterms:W3CDTF">2025-03-07T08:37:45Z</dcterms:created>
  <dcterms:modified xsi:type="dcterms:W3CDTF">2025-03-10T12:39:18Z</dcterms:modified>
</cp:coreProperties>
</file>