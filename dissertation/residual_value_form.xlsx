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ucia.bravo.dalmau\Desktop\TFM\"/>
    </mc:Choice>
  </mc:AlternateContent>
  <xr:revisionPtr revIDLastSave="0" documentId="13_ncr:2001_{E0B259EE-DECA-4168-96B3-B86C741D287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orr_Variables" sheetId="3" r:id="rId1"/>
    <sheet name="Corr_Price_USD" sheetId="5" r:id="rId2"/>
    <sheet name="Análisis_Respuestas" sheetId="2" r:id="rId3"/>
    <sheet name="Respuestas de formulario 1" sheetId="1" r:id="rId4"/>
  </sheets>
  <definedNames>
    <definedName name="_xlnm._FilterDatabase" localSheetId="2" hidden="1">Análisis_Respuestas!$X$1:$AG$1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2" i="2"/>
  <c r="E2" i="2"/>
  <c r="G9" i="2"/>
  <c r="G3" i="2"/>
  <c r="H3" i="2"/>
  <c r="I3" i="2"/>
  <c r="J3" i="2"/>
  <c r="K3" i="2"/>
  <c r="L3" i="2"/>
  <c r="G4" i="2"/>
  <c r="H4" i="2"/>
  <c r="I4" i="2"/>
  <c r="J4" i="2"/>
  <c r="K4" i="2"/>
  <c r="L4" i="2"/>
  <c r="G5" i="2"/>
  <c r="H5" i="2"/>
  <c r="I5" i="2"/>
  <c r="J5" i="2"/>
  <c r="K5" i="2"/>
  <c r="L5" i="2"/>
  <c r="G6" i="2"/>
  <c r="H6" i="2"/>
  <c r="I6" i="2"/>
  <c r="J6" i="2"/>
  <c r="K6" i="2"/>
  <c r="L6" i="2"/>
  <c r="G7" i="2"/>
  <c r="H7" i="2"/>
  <c r="I7" i="2"/>
  <c r="J7" i="2"/>
  <c r="K7" i="2"/>
  <c r="L7" i="2"/>
  <c r="G8" i="2"/>
  <c r="H8" i="2"/>
  <c r="I8" i="2"/>
  <c r="J8" i="2"/>
  <c r="K8" i="2"/>
  <c r="L8" i="2"/>
  <c r="H9" i="2"/>
  <c r="I9" i="2"/>
  <c r="J9" i="2"/>
  <c r="K9" i="2"/>
  <c r="L9" i="2"/>
  <c r="L2" i="2"/>
  <c r="K2" i="2"/>
  <c r="J2" i="2"/>
  <c r="I2" i="2"/>
  <c r="H2" i="2"/>
  <c r="G2" i="2"/>
  <c r="E3" i="2"/>
  <c r="E4" i="2"/>
  <c r="E5" i="2"/>
  <c r="E6" i="2"/>
  <c r="E7" i="2"/>
  <c r="E8" i="2"/>
  <c r="E9" i="2"/>
  <c r="B3" i="2"/>
  <c r="B5" i="2"/>
  <c r="B2" i="2"/>
  <c r="B4" i="2"/>
  <c r="B7" i="2"/>
  <c r="B8" i="2"/>
  <c r="B9" i="2"/>
  <c r="B6" i="2"/>
  <c r="V4" i="2" l="1"/>
  <c r="S9" i="2"/>
  <c r="O7" i="2"/>
  <c r="O5" i="2"/>
  <c r="T3" i="2"/>
  <c r="R6" i="2"/>
  <c r="V5" i="2"/>
  <c r="T4" i="2"/>
  <c r="R3" i="2"/>
  <c r="T7" i="2"/>
  <c r="P4" i="2"/>
  <c r="V9" i="2"/>
  <c r="Q7" i="2"/>
  <c r="U5" i="2"/>
  <c r="S4" i="2"/>
  <c r="Q3" i="2"/>
  <c r="S7" i="2"/>
  <c r="O3" i="2"/>
  <c r="U9" i="2"/>
  <c r="V6" i="2"/>
  <c r="T5" i="2"/>
  <c r="R4" i="2"/>
  <c r="Q9" i="2"/>
  <c r="U4" i="2"/>
  <c r="T9" i="2"/>
  <c r="U6" i="2"/>
  <c r="S5" i="2"/>
  <c r="Q4" i="2"/>
  <c r="S3" i="2"/>
  <c r="O9" i="2"/>
  <c r="V7" i="2"/>
  <c r="T6" i="2"/>
  <c r="R5" i="2"/>
  <c r="P5" i="2"/>
  <c r="O6" i="2"/>
  <c r="O8" i="2"/>
  <c r="R9" i="2"/>
  <c r="U7" i="2"/>
  <c r="S6" i="2"/>
  <c r="Q5" i="2"/>
  <c r="U3" i="2"/>
  <c r="O2" i="2"/>
  <c r="P3" i="2"/>
  <c r="P6" i="2"/>
  <c r="R7" i="2"/>
  <c r="P7" i="2"/>
  <c r="O4" i="2"/>
  <c r="P9" i="2"/>
  <c r="U8" i="2"/>
  <c r="Q6" i="2"/>
  <c r="V3" i="2"/>
  <c r="T8" i="2"/>
  <c r="S8" i="2"/>
  <c r="Q8" i="2"/>
  <c r="P8" i="2"/>
  <c r="R8" i="2"/>
  <c r="V8" i="2"/>
  <c r="P2" i="2"/>
  <c r="S2" i="2" l="1"/>
  <c r="T2" i="2"/>
  <c r="Q2" i="2"/>
  <c r="V2" i="2"/>
  <c r="U2" i="2"/>
  <c r="R2" i="2"/>
</calcChain>
</file>

<file path=xl/sharedStrings.xml><?xml version="1.0" encoding="utf-8"?>
<sst xmlns="http://schemas.openxmlformats.org/spreadsheetml/2006/main" count="117" uniqueCount="33">
  <si>
    <t>Edad</t>
  </si>
  <si>
    <t>Precio</t>
  </si>
  <si>
    <t>Marca y modelo</t>
  </si>
  <si>
    <t xml:space="preserve">Tipo y consumo de combustible </t>
  </si>
  <si>
    <t xml:space="preserve">Color </t>
  </si>
  <si>
    <t>Equipamiento</t>
  </si>
  <si>
    <t>Tecnología</t>
  </si>
  <si>
    <t>Kilometraje</t>
  </si>
  <si>
    <t>Carecterística</t>
  </si>
  <si>
    <t>Promedio</t>
  </si>
  <si>
    <t>Orden de preferencia</t>
  </si>
  <si>
    <t xml:space="preserve">Combustible </t>
  </si>
  <si>
    <t>year_manufacture</t>
  </si>
  <si>
    <t>years</t>
  </si>
  <si>
    <t>mileage</t>
  </si>
  <si>
    <t>original_price</t>
  </si>
  <si>
    <t>mpg_city</t>
  </si>
  <si>
    <t>mpg_highway</t>
  </si>
  <si>
    <t>num_speeds</t>
  </si>
  <si>
    <t>engine_displacement</t>
  </si>
  <si>
    <t>engine_cylinders</t>
  </si>
  <si>
    <t>engine_HP</t>
  </si>
  <si>
    <t>R_interior</t>
  </si>
  <si>
    <t>G_interior</t>
  </si>
  <si>
    <t>B_interior</t>
  </si>
  <si>
    <t>R_exterior</t>
  </si>
  <si>
    <t>G_exterior</t>
  </si>
  <si>
    <t>B_exterior</t>
  </si>
  <si>
    <t>price_USD</t>
  </si>
  <si>
    <t>Variable</t>
  </si>
  <si>
    <t>Correlación</t>
  </si>
  <si>
    <t>Código X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</si>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</sst>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9" formatCode="0.0%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  <scheme val="minor"/>
    </font>
    <font>
      <sz val="7"/>
      <color rgb="FF000000"/>
      <name val="Segoe UI"/>
      <family val="2"/>
    </font>
    <font>
      <sz val="10"/>
      <color rgb="FF000000"/>
      <name val="Arial"/>
      <family val="2"/>
      <scheme val="minor"/>
    </font>
    <font>
      <b/>
      <sz val="7"/>
      <color theme="0"/>
      <name val="Segoe U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3" borderId="9" xfId="0" applyFont="1" applyFill="1" applyBorder="1" applyAlignment="1">
      <alignment horizontal="center" vertical="center" wrapText="1"/>
    </xf>
    <xf numFmtId="9" fontId="4" fillId="2" borderId="9" xfId="1" applyNumberFormat="1" applyFont="1" applyFill="1" applyBorder="1" applyAlignment="1">
      <alignment horizontal="center" vertical="center" wrapText="1"/>
    </xf>
    <xf numFmtId="0" fontId="5" fillId="0" borderId="0" xfId="0" applyFont="1"/>
    <xf numFmtId="169" fontId="0" fillId="0" borderId="0" xfId="1" applyNumberFormat="1" applyFont="1"/>
    <xf numFmtId="0" fontId="7" fillId="0" borderId="0" xfId="0" applyFont="1" applyAlignment="1">
      <alignment horizontal="left" vertical="center"/>
    </xf>
    <xf numFmtId="10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10" fontId="7" fillId="0" borderId="9" xfId="1" applyNumberFormat="1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9" fillId="4" borderId="9" xfId="0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10" fillId="0" borderId="3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5">
    <dxf>
      <border outline="0">
        <bottom style="thin">
          <color rgb="FF442F6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uestas de formulario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Correlación con Price_USD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>
        <c:manualLayout>
          <c:layoutTarget val="inner"/>
          <c:xMode val="edge"/>
          <c:yMode val="edge"/>
          <c:x val="3.1077714107497718E-2"/>
          <c:y val="0.11848019119328343"/>
          <c:w val="0.95480976145145091"/>
          <c:h val="0.86502763081999345"/>
        </c:manualLayout>
      </c:layout>
      <c:scatterChart>
        <c:scatterStyle val="lineMarker"/>
        <c:varyColors val="0"/>
        <c:ser>
          <c:idx val="0"/>
          <c:order val="0"/>
          <c:tx>
            <c:strRef>
              <c:f>Corr_Price_USD!$D$1</c:f>
              <c:strCache>
                <c:ptCount val="1"/>
                <c:pt idx="0">
                  <c:v>Correlación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C2F630-5AE5-4D5F-9C02-B4EB8426F9CD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29222363771789E-2"/>
                      <c:h val="5.463547578142605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872-4CB4-91CA-A44E63755B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E4CCC6-E394-4B47-8374-2B81943C3295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872-4CB4-91CA-A44E63755B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BC0146-8EAC-4D82-A9AF-DC513BC97F60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872-4CB4-91CA-A44E63755B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9559AF-7731-4269-BAEB-4831C2C44D96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872-4CB4-91CA-A44E63755B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65A631-6659-48D6-B97A-C8C8EFD07880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872-4CB4-91CA-A44E63755BC1}"/>
                </c:ext>
              </c:extLst>
            </c:dLbl>
            <c:dLbl>
              <c:idx val="5"/>
              <c:layout>
                <c:manualLayout>
                  <c:x val="-9.4642384064011036E-3"/>
                  <c:y val="-2.953799780441969E-2"/>
                </c:manualLayout>
              </c:layout>
              <c:tx>
                <c:rich>
                  <a:bodyPr/>
                  <a:lstStyle/>
                  <a:p>
                    <a:fld id="{1869916A-7710-44C9-A1F9-098026D56B77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872-4CB4-91CA-A44E63755B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DE5EE4-B5B0-4277-88C2-26F9A2EE4DB8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872-4CB4-91CA-A44E63755B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8311EDA-AC57-4D6E-8522-25594E1CC1EE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872-4CB4-91CA-A44E63755BC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02E639B-9586-440A-92E3-5415A597BED7}" type="CELLRANGE">
                      <a:rPr lang="en-US"/>
                      <a:pPr/>
                      <a:t>[CELLRANGE]</a:t>
                    </a:fld>
                    <a:endParaRPr lang="es-ES_trad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872-4CB4-91CA-A44E63755BC1}"/>
                </c:ext>
              </c:extLst>
            </c:dLbl>
            <c:dLbl>
              <c:idx val="9"/>
              <c:layout>
                <c:manualLayout>
                  <c:x val="-7.8542746199823238E-3"/>
                  <c:y val="1.36825454455348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961C0E6-510D-4193-8BDF-3B30EE97E7AB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29449885365175E-2"/>
                      <c:h val="0.1117521673692817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872-4CB4-91CA-A44E63755BC1}"/>
                </c:ext>
              </c:extLst>
            </c:dLbl>
            <c:dLbl>
              <c:idx val="10"/>
              <c:layout>
                <c:manualLayout>
                  <c:x val="-9.5373523993797799E-3"/>
                  <c:y val="-2.394421885824052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885600-4815-4939-B02E-31A94DBF19D3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257290023898821E-2"/>
                      <c:h val="8.22140510817184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872-4CB4-91CA-A44E63755BC1}"/>
                </c:ext>
              </c:extLst>
            </c:dLbl>
            <c:dLbl>
              <c:idx val="11"/>
              <c:layout>
                <c:manualLayout>
                  <c:x val="-7.2932486935163958E-3"/>
                  <c:y val="3.0785424246309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57F6FE-DC09-4708-8A06-E4286E7ECD7E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2581735292948302E-2"/>
                      <c:h val="7.56499953135049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872-4CB4-91CA-A44E63755BC1}"/>
                </c:ext>
              </c:extLst>
            </c:dLbl>
            <c:dLbl>
              <c:idx val="12"/>
              <c:layout>
                <c:manualLayout>
                  <c:x val="-6.7322227670506317E-3"/>
                  <c:y val="-2.73645522134800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AF058F-9932-428D-ABFE-34FE07F41019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232830177010305E-2"/>
                      <c:h val="9.53421626181454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872-4CB4-91CA-A44E63755BC1}"/>
                </c:ext>
              </c:extLst>
            </c:dLbl>
            <c:dLbl>
              <c:idx val="13"/>
              <c:layout>
                <c:manualLayout>
                  <c:x val="-9.5373523993797799E-3"/>
                  <c:y val="2.394448819703533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10975F7-C7ED-456E-8BAA-4C5BA78CA85C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59265983716993E-2"/>
                      <c:h val="0.1019062183863589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872-4CB4-91CA-A44E63755BC1}"/>
                </c:ext>
              </c:extLst>
            </c:dLbl>
            <c:dLbl>
              <c:idx val="14"/>
              <c:layout>
                <c:manualLayout>
                  <c:x val="-1.1220518529317082E-2"/>
                  <c:y val="-3.078515490751444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FBFD4A-7425-4493-8828-F7FDE03E4659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36249342892862E-2"/>
                      <c:h val="8.549621363522262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872-4CB4-91CA-A44E63755BC1}"/>
                </c:ext>
              </c:extLst>
            </c:dLbl>
            <c:dLbl>
              <c:idx val="15"/>
              <c:layout>
                <c:manualLayout>
                  <c:x val="-7.8543187952520421E-3"/>
                  <c:y val="2.39442188582404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7327595-301A-4478-8A29-39675AA701A6}" type="CELLRANGE">
                      <a:rPr lang="en-US" sz="800"/>
                      <a:pPr>
                        <a:defRPr sz="800"/>
                      </a:pPr>
                      <a:t>[CELLRANGE]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_tradn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516395651386432E-2"/>
                      <c:h val="9.206000006464130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872-4CB4-91CA-A44E63755B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Corr_Price_USD!$C$2:$C$17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Corr_Price_USD!$D$2:$D$17</c:f>
              <c:numCache>
                <c:formatCode>0.0%</c:formatCode>
                <c:ptCount val="16"/>
                <c:pt idx="0">
                  <c:v>0.71810099999999999</c:v>
                </c:pt>
                <c:pt idx="1">
                  <c:v>-0.397401</c:v>
                </c:pt>
                <c:pt idx="2">
                  <c:v>0.38450499999999999</c:v>
                </c:pt>
                <c:pt idx="3">
                  <c:v>0.32532899999999998</c:v>
                </c:pt>
                <c:pt idx="4">
                  <c:v>-0.32532899999999998</c:v>
                </c:pt>
                <c:pt idx="5">
                  <c:v>0.259718</c:v>
                </c:pt>
                <c:pt idx="6">
                  <c:v>0.22869900000000001</c:v>
                </c:pt>
                <c:pt idx="7">
                  <c:v>-0.20801500000000001</c:v>
                </c:pt>
                <c:pt idx="8">
                  <c:v>0.136128</c:v>
                </c:pt>
                <c:pt idx="9">
                  <c:v>-5.2893999999999997E-2</c:v>
                </c:pt>
                <c:pt idx="10">
                  <c:v>-4.9537999999999999E-2</c:v>
                </c:pt>
                <c:pt idx="11">
                  <c:v>-2.4886999999999999E-2</c:v>
                </c:pt>
                <c:pt idx="12">
                  <c:v>-1.5245999999999999E-2</c:v>
                </c:pt>
                <c:pt idx="13">
                  <c:v>-6.1999999999999998E-3</c:v>
                </c:pt>
                <c:pt idx="14">
                  <c:v>-5.2570000000000004E-3</c:v>
                </c:pt>
                <c:pt idx="15">
                  <c:v>-2.2699999999999999E-4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Corr_Price_USD!$A$2:$A$17</c15:f>
                <c15:dlblRangeCache>
                  <c:ptCount val="16"/>
                  <c:pt idx="0">
                    <c:v>original_price</c:v>
                  </c:pt>
                  <c:pt idx="1">
                    <c:v>mileage</c:v>
                  </c:pt>
                  <c:pt idx="2">
                    <c:v>engine_HP</c:v>
                  </c:pt>
                  <c:pt idx="3">
                    <c:v>year_manufacture</c:v>
                  </c:pt>
                  <c:pt idx="4">
                    <c:v>years</c:v>
                  </c:pt>
                  <c:pt idx="5">
                    <c:v>engine_cylinders</c:v>
                  </c:pt>
                  <c:pt idx="6">
                    <c:v>engine_displacement</c:v>
                  </c:pt>
                  <c:pt idx="7">
                    <c:v>mpg_city</c:v>
                  </c:pt>
                  <c:pt idx="8">
                    <c:v>num_speeds</c:v>
                  </c:pt>
                  <c:pt idx="9">
                    <c:v>B_interior</c:v>
                  </c:pt>
                  <c:pt idx="10">
                    <c:v>G_interior</c:v>
                  </c:pt>
                  <c:pt idx="11">
                    <c:v>R_exterior</c:v>
                  </c:pt>
                  <c:pt idx="12">
                    <c:v>R_interior</c:v>
                  </c:pt>
                  <c:pt idx="13">
                    <c:v>B_exterior</c:v>
                  </c:pt>
                  <c:pt idx="14">
                    <c:v>mpg_highway</c:v>
                  </c:pt>
                  <c:pt idx="15">
                    <c:v>G_exterior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872-4CB4-91CA-A44E63755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42016"/>
        <c:axId val="487828096"/>
      </c:scatterChart>
      <c:valAx>
        <c:axId val="48784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487828096"/>
        <c:crosses val="autoZero"/>
        <c:crossBetween val="midCat"/>
      </c:valAx>
      <c:valAx>
        <c:axId val="487828096"/>
        <c:scaling>
          <c:orientation val="minMax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48784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%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Análisis_Respuestas!$N$2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Análisis_Respuestas!$O$2:$V$2</c:f>
              <c:numCache>
                <c:formatCode>General</c:formatCode>
                <c:ptCount val="8"/>
                <c:pt idx="0">
                  <c:v>0.125</c:v>
                </c:pt>
                <c:pt idx="1">
                  <c:v>0.29166666666666669</c:v>
                </c:pt>
                <c:pt idx="2">
                  <c:v>8.3333333333333329E-2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7-4A71-90FC-C6037CB9F3A2}"/>
            </c:ext>
          </c:extLst>
        </c:ser>
        <c:ser>
          <c:idx val="1"/>
          <c:order val="1"/>
          <c:tx>
            <c:strRef>
              <c:f>Análisis_Respuestas!$N$3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Análisis_Respuestas!$O$3:$V$3</c:f>
              <c:numCache>
                <c:formatCode>General</c:formatCode>
                <c:ptCount val="8"/>
                <c:pt idx="0">
                  <c:v>0.20833333333333334</c:v>
                </c:pt>
                <c:pt idx="1">
                  <c:v>0.20833333333333334</c:v>
                </c:pt>
                <c:pt idx="2">
                  <c:v>0.25</c:v>
                </c:pt>
                <c:pt idx="3">
                  <c:v>8.3333333333333329E-2</c:v>
                </c:pt>
                <c:pt idx="4">
                  <c:v>8.3333333333333329E-2</c:v>
                </c:pt>
                <c:pt idx="5">
                  <c:v>4.1666666666666664E-2</c:v>
                </c:pt>
                <c:pt idx="6">
                  <c:v>8.3333333333333329E-2</c:v>
                </c:pt>
                <c:pt idx="7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7-4A71-90FC-C6037CB9F3A2}"/>
            </c:ext>
          </c:extLst>
        </c:ser>
        <c:ser>
          <c:idx val="2"/>
          <c:order val="2"/>
          <c:tx>
            <c:strRef>
              <c:f>Análisis_Respuestas!$N$4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Análisis_Respuestas!$O$4:$V$4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0.29166666666666669</c:v>
                </c:pt>
                <c:pt idx="3">
                  <c:v>0.20833333333333334</c:v>
                </c:pt>
                <c:pt idx="4">
                  <c:v>0</c:v>
                </c:pt>
                <c:pt idx="5">
                  <c:v>4.1666666666666664E-2</c:v>
                </c:pt>
                <c:pt idx="6">
                  <c:v>0.16666666666666666</c:v>
                </c:pt>
                <c:pt idx="7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37-4A71-90FC-C6037CB9F3A2}"/>
            </c:ext>
          </c:extLst>
        </c:ser>
        <c:ser>
          <c:idx val="3"/>
          <c:order val="3"/>
          <c:tx>
            <c:strRef>
              <c:f>Análisis_Respuestas!$N$5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Análisis_Respuestas!$O$5:$V$5</c:f>
              <c:numCache>
                <c:formatCode>General</c:formatCode>
                <c:ptCount val="8"/>
                <c:pt idx="0">
                  <c:v>0.25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4.1666666666666664E-2</c:v>
                </c:pt>
                <c:pt idx="5">
                  <c:v>4.1666666666666664E-2</c:v>
                </c:pt>
                <c:pt idx="6">
                  <c:v>0.16666666666666666</c:v>
                </c:pt>
                <c:pt idx="7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37-4A71-90FC-C6037CB9F3A2}"/>
            </c:ext>
          </c:extLst>
        </c:ser>
        <c:ser>
          <c:idx val="4"/>
          <c:order val="4"/>
          <c:tx>
            <c:strRef>
              <c:f>Análisis_Respuestas!$N$6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Análisis_Respuestas!$O$6:$V$6</c:f>
              <c:numCache>
                <c:formatCode>General</c:formatCode>
                <c:ptCount val="8"/>
                <c:pt idx="0">
                  <c:v>4.1666666666666664E-2</c:v>
                </c:pt>
                <c:pt idx="1">
                  <c:v>4.1666666666666664E-2</c:v>
                </c:pt>
                <c:pt idx="2">
                  <c:v>0.125</c:v>
                </c:pt>
                <c:pt idx="3">
                  <c:v>0.20833333333333334</c:v>
                </c:pt>
                <c:pt idx="4">
                  <c:v>8.3333333333333329E-2</c:v>
                </c:pt>
                <c:pt idx="5">
                  <c:v>0.125</c:v>
                </c:pt>
                <c:pt idx="6">
                  <c:v>0.25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37-4A71-90FC-C6037CB9F3A2}"/>
            </c:ext>
          </c:extLst>
        </c:ser>
        <c:ser>
          <c:idx val="5"/>
          <c:order val="5"/>
          <c:tx>
            <c:strRef>
              <c:f>Análisis_Respuestas!$N$7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Análisis_Respuestas!$O$7:$V$7</c:f>
              <c:numCache>
                <c:formatCode>General</c:formatCode>
                <c:ptCount val="8"/>
                <c:pt idx="0">
                  <c:v>4.1666666666666664E-2</c:v>
                </c:pt>
                <c:pt idx="1">
                  <c:v>8.3333333333333329E-2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4.1666666666666664E-2</c:v>
                </c:pt>
                <c:pt idx="5">
                  <c:v>0.29166666666666669</c:v>
                </c:pt>
                <c:pt idx="6">
                  <c:v>0.20833333333333334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37-4A71-90FC-C6037CB9F3A2}"/>
            </c:ext>
          </c:extLst>
        </c:ser>
        <c:ser>
          <c:idx val="6"/>
          <c:order val="6"/>
          <c:tx>
            <c:strRef>
              <c:f>Análisis_Respuestas!$N$8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Análisis_Respuestas!$O$8:$V$8</c:f>
              <c:numCache>
                <c:formatCode>General</c:formatCode>
                <c:ptCount val="8"/>
                <c:pt idx="0">
                  <c:v>0.20833333333333334</c:v>
                </c:pt>
                <c:pt idx="1">
                  <c:v>4.1666666666666664E-2</c:v>
                </c:pt>
                <c:pt idx="2">
                  <c:v>4.1666666666666664E-2</c:v>
                </c:pt>
                <c:pt idx="3">
                  <c:v>0</c:v>
                </c:pt>
                <c:pt idx="4">
                  <c:v>0.25</c:v>
                </c:pt>
                <c:pt idx="5">
                  <c:v>0.16666666666666666</c:v>
                </c:pt>
                <c:pt idx="6">
                  <c:v>0.125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37-4A71-90FC-C6037CB9F3A2}"/>
            </c:ext>
          </c:extLst>
        </c:ser>
        <c:ser>
          <c:idx val="7"/>
          <c:order val="7"/>
          <c:tx>
            <c:strRef>
              <c:f>Análisis_Respuestas!$N$9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Análisis_Respuestas!$O$1:$V$1</c:f>
              <c:strCache>
                <c:ptCount val="8"/>
                <c:pt idx="0">
                  <c:v>Edad</c:v>
                </c:pt>
                <c:pt idx="1">
                  <c:v>Precio</c:v>
                </c:pt>
                <c:pt idx="2">
                  <c:v>Marca y modelo</c:v>
                </c:pt>
                <c:pt idx="3">
                  <c:v>Tipo y consumo de combustible </c:v>
                </c:pt>
                <c:pt idx="4">
                  <c:v>Color </c:v>
                </c:pt>
                <c:pt idx="5">
                  <c:v>Equipamiento</c:v>
                </c:pt>
                <c:pt idx="6">
                  <c:v>Tecnología</c:v>
                </c:pt>
                <c:pt idx="7">
                  <c:v>Kilometraje</c:v>
                </c:pt>
              </c:strCache>
            </c:strRef>
          </c:cat>
          <c:val>
            <c:numRef>
              <c:f>Análisis_Respuestas!$O$9:$V$9</c:f>
              <c:numCache>
                <c:formatCode>General</c:formatCode>
                <c:ptCount val="8"/>
                <c:pt idx="0">
                  <c:v>4.1666666666666664E-2</c:v>
                </c:pt>
                <c:pt idx="1">
                  <c:v>8.3333333333333329E-2</c:v>
                </c:pt>
                <c:pt idx="2">
                  <c:v>0</c:v>
                </c:pt>
                <c:pt idx="3">
                  <c:v>4.1666666666666664E-2</c:v>
                </c:pt>
                <c:pt idx="4">
                  <c:v>0.29166666666666669</c:v>
                </c:pt>
                <c:pt idx="5">
                  <c:v>0.29166666666666669</c:v>
                </c:pt>
                <c:pt idx="6">
                  <c:v>0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37-4A71-90FC-C6037CB9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583424"/>
        <c:axId val="335576224"/>
      </c:barChart>
      <c:catAx>
        <c:axId val="3355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335576224"/>
        <c:crosses val="autoZero"/>
        <c:auto val="1"/>
        <c:lblAlgn val="ctr"/>
        <c:lblOffset val="100"/>
        <c:noMultiLvlLbl val="0"/>
      </c:catAx>
      <c:valAx>
        <c:axId val="335576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3355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Promedio</a:t>
            </a:r>
            <a:r>
              <a:rPr lang="en-US" sz="1000" b="1" baseline="0"/>
              <a:t> de importancia asignada a cada componente</a:t>
            </a:r>
            <a:endParaRPr lang="en-US" sz="1000" b="1"/>
          </a:p>
        </c:rich>
      </c:tx>
      <c:layout>
        <c:manualLayout>
          <c:xMode val="edge"/>
          <c:yMode val="edge"/>
          <c:x val="0.16893627174746287"/>
          <c:y val="3.6446469248291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Análisis_Respuestas!$B$1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Análisis_Respuestas!$A$2:$A$9</c:f>
              <c:strCache>
                <c:ptCount val="8"/>
                <c:pt idx="0">
                  <c:v>Equipamiento</c:v>
                </c:pt>
                <c:pt idx="1">
                  <c:v>Kilometraje</c:v>
                </c:pt>
                <c:pt idx="2">
                  <c:v>Color </c:v>
                </c:pt>
                <c:pt idx="3">
                  <c:v>Tecnología</c:v>
                </c:pt>
                <c:pt idx="4">
                  <c:v>Edad</c:v>
                </c:pt>
                <c:pt idx="5">
                  <c:v>Tipo y consumo de combustible </c:v>
                </c:pt>
                <c:pt idx="6">
                  <c:v>Marca y modelo</c:v>
                </c:pt>
                <c:pt idx="7">
                  <c:v>Precio</c:v>
                </c:pt>
              </c:strCache>
            </c:strRef>
          </c:cat>
          <c:val>
            <c:numRef>
              <c:f>Análisis_Respuestas!$B$2:$B$9</c:f>
              <c:numCache>
                <c:formatCode>0.00</c:formatCode>
                <c:ptCount val="8"/>
                <c:pt idx="0">
                  <c:v>6.25</c:v>
                </c:pt>
                <c:pt idx="1">
                  <c:v>5.458333333333333</c:v>
                </c:pt>
                <c:pt idx="2">
                  <c:v>5.291666666666667</c:v>
                </c:pt>
                <c:pt idx="3">
                  <c:v>4.708333333333333</c:v>
                </c:pt>
                <c:pt idx="4">
                  <c:v>4.041666666666667</c:v>
                </c:pt>
                <c:pt idx="5">
                  <c:v>3.75</c:v>
                </c:pt>
                <c:pt idx="6">
                  <c:v>3.2916666666666665</c:v>
                </c:pt>
                <c:pt idx="7">
                  <c:v>3.2083333333333335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2-45CC-9FCD-2EE068AA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5587264"/>
        <c:axId val="335590144"/>
      </c:barChart>
      <c:catAx>
        <c:axId val="33558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335590144"/>
        <c:crosses val="autoZero"/>
        <c:auto val="1"/>
        <c:lblAlgn val="ctr"/>
        <c:lblOffset val="100"/>
        <c:noMultiLvlLbl val="0"/>
      </c:catAx>
      <c:valAx>
        <c:axId val="33559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sz="800"/>
                  <a:t>Promedio</a:t>
                </a:r>
                <a:r>
                  <a:rPr lang="es-ES_tradnl" sz="800" baseline="0"/>
                  <a:t> de orden de importancia (1 = más importante)</a:t>
                </a:r>
                <a:endParaRPr lang="es-ES_tradnl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_trad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33558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100" b="0" i="0" u="none" strike="noStrike" baseline="0"/>
              <a:t>% Distribución de las Preferencias del Usuario</a:t>
            </a:r>
            <a:endParaRPr lang="es-ES_tradnl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Análisis_Respuestas!$X$2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Análisis_Respuestas!$Y$2:$AF$2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</c:v>
                </c:pt>
                <c:pt idx="2">
                  <c:v>4.1666666666666664E-2</c:v>
                </c:pt>
                <c:pt idx="3">
                  <c:v>4.1666666666666664E-2</c:v>
                </c:pt>
                <c:pt idx="4">
                  <c:v>0</c:v>
                </c:pt>
                <c:pt idx="5">
                  <c:v>0.29166666666666669</c:v>
                </c:pt>
                <c:pt idx="6">
                  <c:v>0.25</c:v>
                </c:pt>
                <c:pt idx="7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8-4FBF-9F6A-AACFEAC08156}"/>
            </c:ext>
          </c:extLst>
        </c:ser>
        <c:ser>
          <c:idx val="1"/>
          <c:order val="1"/>
          <c:tx>
            <c:strRef>
              <c:f>Análisis_Respuestas!$X$3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Análisis_Respuestas!$Y$3:$AF$3</c:f>
              <c:numCache>
                <c:formatCode>General</c:formatCode>
                <c:ptCount val="8"/>
                <c:pt idx="0">
                  <c:v>4.1666666666666664E-2</c:v>
                </c:pt>
                <c:pt idx="1">
                  <c:v>4.1666666666666664E-2</c:v>
                </c:pt>
                <c:pt idx="2">
                  <c:v>0</c:v>
                </c:pt>
                <c:pt idx="3">
                  <c:v>0.20833333333333334</c:v>
                </c:pt>
                <c:pt idx="4">
                  <c:v>0.125</c:v>
                </c:pt>
                <c:pt idx="5">
                  <c:v>0.25</c:v>
                </c:pt>
                <c:pt idx="6">
                  <c:v>0.16666666666666666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8-4FBF-9F6A-AACFEAC08156}"/>
            </c:ext>
          </c:extLst>
        </c:ser>
        <c:ser>
          <c:idx val="2"/>
          <c:order val="2"/>
          <c:tx>
            <c:strRef>
              <c:f>Análisis_Respuestas!$X$4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Análisis_Respuestas!$Y$4:$AF$4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4.1666666666666664E-2</c:v>
                </c:pt>
                <c:pt idx="2">
                  <c:v>0.125</c:v>
                </c:pt>
                <c:pt idx="3">
                  <c:v>4.1666666666666664E-2</c:v>
                </c:pt>
                <c:pt idx="4">
                  <c:v>0.20833333333333334</c:v>
                </c:pt>
                <c:pt idx="5">
                  <c:v>4.1666666666666664E-2</c:v>
                </c:pt>
                <c:pt idx="6">
                  <c:v>0.16666666666666666</c:v>
                </c:pt>
                <c:pt idx="7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A8-4FBF-9F6A-AACFEAC08156}"/>
            </c:ext>
          </c:extLst>
        </c:ser>
        <c:ser>
          <c:idx val="3"/>
          <c:order val="3"/>
          <c:tx>
            <c:strRef>
              <c:f>Análisis_Respuestas!$X$5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Análisis_Respuestas!$Y$5:$AF$5</c:f>
              <c:numCache>
                <c:formatCode>General</c:formatCode>
                <c:ptCount val="8"/>
                <c:pt idx="0">
                  <c:v>4.1666666666666664E-2</c:v>
                </c:pt>
                <c:pt idx="1">
                  <c:v>0.125</c:v>
                </c:pt>
                <c:pt idx="2">
                  <c:v>0.20833333333333334</c:v>
                </c:pt>
                <c:pt idx="3">
                  <c:v>4.1666666666666664E-2</c:v>
                </c:pt>
                <c:pt idx="4">
                  <c:v>0.25</c:v>
                </c:pt>
                <c:pt idx="5">
                  <c:v>8.3333333333333329E-2</c:v>
                </c:pt>
                <c:pt idx="6">
                  <c:v>0.125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A8-4FBF-9F6A-AACFEAC08156}"/>
            </c:ext>
          </c:extLst>
        </c:ser>
        <c:ser>
          <c:idx val="4"/>
          <c:order val="4"/>
          <c:tx>
            <c:strRef>
              <c:f>Análisis_Respuestas!$X$6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Análisis_Respuestas!$Y$6:$AF$6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0.16666666666666666</c:v>
                </c:pt>
                <c:pt idx="5">
                  <c:v>4.1666666666666664E-2</c:v>
                </c:pt>
                <c:pt idx="6">
                  <c:v>8.3333333333333329E-2</c:v>
                </c:pt>
                <c:pt idx="7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A8-4FBF-9F6A-AACFEAC08156}"/>
            </c:ext>
          </c:extLst>
        </c:ser>
        <c:ser>
          <c:idx val="5"/>
          <c:order val="5"/>
          <c:tx>
            <c:strRef>
              <c:f>Análisis_Respuestas!$X$7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Análisis_Respuestas!$Y$7:$AF$7</c:f>
              <c:numCache>
                <c:formatCode>General</c:formatCode>
                <c:ptCount val="8"/>
                <c:pt idx="0">
                  <c:v>0.16666666666666666</c:v>
                </c:pt>
                <c:pt idx="1">
                  <c:v>0.29166666666666669</c:v>
                </c:pt>
                <c:pt idx="2">
                  <c:v>0.20833333333333334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</c:v>
                </c:pt>
                <c:pt idx="6">
                  <c:v>4.1666666666666664E-2</c:v>
                </c:pt>
                <c:pt idx="7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A8-4FBF-9F6A-AACFEAC08156}"/>
            </c:ext>
          </c:extLst>
        </c:ser>
        <c:ser>
          <c:idx val="6"/>
          <c:order val="6"/>
          <c:tx>
            <c:strRef>
              <c:f>Análisis_Respuestas!$X$8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Análisis_Respuestas!$Y$8:$AF$8</c:f>
              <c:numCache>
                <c:formatCode>General</c:formatCode>
                <c:ptCount val="8"/>
                <c:pt idx="0">
                  <c:v>0.20833333333333334</c:v>
                </c:pt>
                <c:pt idx="1">
                  <c:v>0.25</c:v>
                </c:pt>
                <c:pt idx="2">
                  <c:v>8.3333333333333329E-2</c:v>
                </c:pt>
                <c:pt idx="3">
                  <c:v>0.20833333333333334</c:v>
                </c:pt>
                <c:pt idx="4">
                  <c:v>8.3333333333333329E-2</c:v>
                </c:pt>
                <c:pt idx="5">
                  <c:v>8.3333333333333329E-2</c:v>
                </c:pt>
                <c:pt idx="6">
                  <c:v>4.1666666666666664E-2</c:v>
                </c:pt>
                <c:pt idx="7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A8-4FBF-9F6A-AACFEAC08156}"/>
            </c:ext>
          </c:extLst>
        </c:ser>
        <c:ser>
          <c:idx val="7"/>
          <c:order val="7"/>
          <c:tx>
            <c:strRef>
              <c:f>Análisis_Respuestas!$X$9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Análisis_Respuestas!$Y$1:$AF$1</c:f>
              <c:strCache>
                <c:ptCount val="8"/>
                <c:pt idx="0">
                  <c:v>Precio</c:v>
                </c:pt>
                <c:pt idx="1">
                  <c:v>Marca y modelo</c:v>
                </c:pt>
                <c:pt idx="2">
                  <c:v>Combustible </c:v>
                </c:pt>
                <c:pt idx="3">
                  <c:v>Edad</c:v>
                </c:pt>
                <c:pt idx="4">
                  <c:v>Tecnología</c:v>
                </c:pt>
                <c:pt idx="5">
                  <c:v>Color </c:v>
                </c:pt>
                <c:pt idx="6">
                  <c:v>Kilometraje</c:v>
                </c:pt>
                <c:pt idx="7">
                  <c:v>Equipamiento</c:v>
                </c:pt>
              </c:strCache>
            </c:strRef>
          </c:cat>
          <c:val>
            <c:numRef>
              <c:f>Análisis_Respuestas!$Y$9:$AF$9</c:f>
              <c:numCache>
                <c:formatCode>General</c:formatCode>
                <c:ptCount val="8"/>
                <c:pt idx="0">
                  <c:v>0.29166666666666669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0.125</c:v>
                </c:pt>
                <c:pt idx="4">
                  <c:v>0</c:v>
                </c:pt>
                <c:pt idx="5">
                  <c:v>0.20833333333333334</c:v>
                </c:pt>
                <c:pt idx="6">
                  <c:v>0.125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A8-4FBF-9F6A-AACFEAC08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097344"/>
        <c:axId val="206082464"/>
      </c:barChart>
      <c:catAx>
        <c:axId val="2060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206082464"/>
        <c:crosses val="autoZero"/>
        <c:auto val="1"/>
        <c:lblAlgn val="ctr"/>
        <c:lblOffset val="100"/>
        <c:noMultiLvlLbl val="0"/>
      </c:catAx>
      <c:valAx>
        <c:axId val="206082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206097344"/>
        <c:crosses val="autoZero"/>
        <c:crossBetween val="between"/>
        <c:minorUnit val="4.0000000000000008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599912</xdr:colOff>
      <xdr:row>0</xdr:row>
      <xdr:rowOff>137909</xdr:rowOff>
    </xdr:from>
    <xdr:to>
      <xdr:col>23</xdr:col>
      <xdr:colOff>317501</xdr:colOff>
      <xdr:row>23</xdr:row>
      <xdr:rowOff>105833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E5B7D8-0786-6295-60D3-9F16399C2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</xdr:colOff>
      <xdr:row>9</xdr:row>
      <xdr:rowOff>127000</xdr:rowOff>
    </xdr:from>
    <xdr:to>
      <xdr:col>22</xdr:col>
      <xdr:colOff>0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7EBA9-F1F4-47ED-1EED-616DCCEEB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47624</xdr:colOff>
      <xdr:row>10</xdr:row>
      <xdr:rowOff>12700</xdr:rowOff>
    </xdr:from>
    <xdr:to>
      <xdr:col>6</xdr:col>
      <xdr:colOff>552449</xdr:colOff>
      <xdr:row>27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0AE805-36BE-739B-5C78-EB3BA1F3B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98424</xdr:colOff>
      <xdr:row>10</xdr:row>
      <xdr:rowOff>0</xdr:rowOff>
    </xdr:from>
    <xdr:to>
      <xdr:col>31</xdr:col>
      <xdr:colOff>603249</xdr:colOff>
      <xdr:row>29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66BD78-662C-584F-7EF4-70CC1D190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I25" headerRowDxfId="1" headerRowBorderDxfId="0">
  <tableColumns count="9">
    <tableColumn id="1" xr3:uid="{00000000-0010-0000-0000-000001000000}" name="Column1"/>
    <tableColumn id="2" xr3:uid="{00000000-0010-0000-0000-000002000000}" name="Edad"/>
    <tableColumn id="3" xr3:uid="{00000000-0010-0000-0000-000003000000}" name="Precio"/>
    <tableColumn id="4" xr3:uid="{00000000-0010-0000-0000-000004000000}" name="Marca y modelo"/>
    <tableColumn id="5" xr3:uid="{00000000-0010-0000-0000-000005000000}" name="Tipo y consumo de combustible "/>
    <tableColumn id="6" xr3:uid="{00000000-0010-0000-0000-000006000000}" name="Color "/>
    <tableColumn id="7" xr3:uid="{00000000-0010-0000-0000-000007000000}" name="Equipamiento"/>
    <tableColumn id="8" xr3:uid="{00000000-0010-0000-0000-000008000000}" name="Tecnología"/>
    <tableColumn id="9" xr3:uid="{00000000-0010-0000-0000-000009000000}" name="Kilometraje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75ED-F3AD-4608-A2F3-20B68BE3AA2E}">
  <dimension ref="A1:R18"/>
  <sheetViews>
    <sheetView showGridLines="0" workbookViewId="0">
      <selection activeCell="F9" sqref="F9"/>
    </sheetView>
  </sheetViews>
  <sheetFormatPr defaultRowHeight="12.5" x14ac:dyDescent="0.25"/>
  <cols>
    <col min="1" max="1" width="11.6328125" customWidth="1"/>
  </cols>
  <sheetData>
    <row r="1" spans="1:18" ht="21" x14ac:dyDescent="0.25">
      <c r="A1" s="10"/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28</v>
      </c>
    </row>
    <row r="2" spans="1:18" ht="21" x14ac:dyDescent="0.25">
      <c r="A2" s="10" t="s">
        <v>12</v>
      </c>
      <c r="B2" s="11">
        <v>1</v>
      </c>
      <c r="C2" s="11">
        <v>-1</v>
      </c>
      <c r="D2" s="11">
        <v>-0.7</v>
      </c>
      <c r="E2" s="11">
        <v>0.14000000000000001</v>
      </c>
      <c r="F2" s="11">
        <v>7.9000000000000001E-2</v>
      </c>
      <c r="G2" s="11">
        <v>1.2E-2</v>
      </c>
      <c r="H2" s="11">
        <v>0.3</v>
      </c>
      <c r="I2" s="11">
        <v>-0.14000000000000001</v>
      </c>
      <c r="J2" s="11">
        <v>-0.19</v>
      </c>
      <c r="K2" s="11">
        <v>-1.4E-2</v>
      </c>
      <c r="L2" s="11">
        <v>-0.15</v>
      </c>
      <c r="M2" s="11">
        <v>-0.18</v>
      </c>
      <c r="N2" s="11">
        <v>-0.17</v>
      </c>
      <c r="O2" s="11">
        <v>-1.2999999999999999E-2</v>
      </c>
      <c r="P2" s="11">
        <v>0.03</v>
      </c>
      <c r="Q2" s="11">
        <v>3.3000000000000002E-2</v>
      </c>
      <c r="R2" s="11">
        <v>0.33</v>
      </c>
    </row>
    <row r="3" spans="1:18" x14ac:dyDescent="0.25">
      <c r="A3" s="10" t="s">
        <v>13</v>
      </c>
      <c r="B3" s="11">
        <v>-1</v>
      </c>
      <c r="C3" s="11">
        <v>1</v>
      </c>
      <c r="D3" s="11">
        <v>0.7</v>
      </c>
      <c r="E3" s="11">
        <v>-0.14000000000000001</v>
      </c>
      <c r="F3" s="11">
        <v>-7.9000000000000001E-2</v>
      </c>
      <c r="G3" s="11">
        <v>-1.2E-2</v>
      </c>
      <c r="H3" s="11">
        <v>-0.3</v>
      </c>
      <c r="I3" s="11">
        <v>0.14000000000000001</v>
      </c>
      <c r="J3" s="11">
        <v>0.19</v>
      </c>
      <c r="K3" s="11">
        <v>1.4E-2</v>
      </c>
      <c r="L3" s="11">
        <v>0.15</v>
      </c>
      <c r="M3" s="11">
        <v>0.18</v>
      </c>
      <c r="N3" s="11">
        <v>0.17</v>
      </c>
      <c r="O3" s="11">
        <v>1.2999999999999999E-2</v>
      </c>
      <c r="P3" s="11">
        <v>-0.03</v>
      </c>
      <c r="Q3" s="11">
        <v>-3.3000000000000002E-2</v>
      </c>
      <c r="R3" s="11">
        <v>-0.33</v>
      </c>
    </row>
    <row r="4" spans="1:18" x14ac:dyDescent="0.25">
      <c r="A4" s="10" t="s">
        <v>14</v>
      </c>
      <c r="B4" s="11">
        <v>-0.7</v>
      </c>
      <c r="C4" s="11">
        <v>0.7</v>
      </c>
      <c r="D4" s="11">
        <v>1</v>
      </c>
      <c r="E4" s="11">
        <v>-0.2</v>
      </c>
      <c r="F4" s="11">
        <v>-7.0999999999999994E-2</v>
      </c>
      <c r="G4" s="11">
        <v>-1.4E-2</v>
      </c>
      <c r="H4" s="11">
        <v>-0.15</v>
      </c>
      <c r="I4" s="11">
        <v>0.15</v>
      </c>
      <c r="J4" s="11">
        <v>0.15</v>
      </c>
      <c r="K4" s="11">
        <v>-3.9E-2</v>
      </c>
      <c r="L4" s="11">
        <v>9.8000000000000004E-2</v>
      </c>
      <c r="M4" s="11">
        <v>0.13</v>
      </c>
      <c r="N4" s="11">
        <v>0.12</v>
      </c>
      <c r="O4" s="11">
        <v>2.3E-2</v>
      </c>
      <c r="P4" s="11">
        <v>2.2000000000000001E-3</v>
      </c>
      <c r="Q4" s="11">
        <v>-2.2000000000000001E-3</v>
      </c>
      <c r="R4" s="11">
        <v>-0.4</v>
      </c>
    </row>
    <row r="5" spans="1:18" ht="21" x14ac:dyDescent="0.25">
      <c r="A5" s="10" t="s">
        <v>15</v>
      </c>
      <c r="B5" s="11">
        <v>0.14000000000000001</v>
      </c>
      <c r="C5" s="11">
        <v>-0.14000000000000001</v>
      </c>
      <c r="D5" s="11">
        <v>-0.2</v>
      </c>
      <c r="E5" s="11">
        <v>1</v>
      </c>
      <c r="F5" s="11">
        <v>-0.4</v>
      </c>
      <c r="G5" s="11">
        <v>-1.7999999999999999E-2</v>
      </c>
      <c r="H5" s="11">
        <v>7.1999999999999995E-2</v>
      </c>
      <c r="I5" s="11">
        <v>0.44</v>
      </c>
      <c r="J5" s="11">
        <v>0.52</v>
      </c>
      <c r="K5" s="11">
        <v>0.56999999999999995</v>
      </c>
      <c r="L5" s="11">
        <v>8.2000000000000003E-2</v>
      </c>
      <c r="M5" s="11">
        <v>3.9E-2</v>
      </c>
      <c r="N5" s="11">
        <v>1.9E-2</v>
      </c>
      <c r="O5" s="11">
        <v>-7.4999999999999997E-2</v>
      </c>
      <c r="P5" s="11">
        <v>-3.9E-2</v>
      </c>
      <c r="Q5" s="11">
        <v>-3.3000000000000002E-2</v>
      </c>
      <c r="R5" s="11">
        <v>0.72</v>
      </c>
    </row>
    <row r="6" spans="1:18" x14ac:dyDescent="0.25">
      <c r="A6" s="10" t="s">
        <v>16</v>
      </c>
      <c r="B6" s="11">
        <v>7.9000000000000001E-2</v>
      </c>
      <c r="C6" s="11">
        <v>-7.9000000000000001E-2</v>
      </c>
      <c r="D6" s="11">
        <v>-7.0999999999999994E-2</v>
      </c>
      <c r="E6" s="11">
        <v>-0.4</v>
      </c>
      <c r="F6" s="11">
        <v>1</v>
      </c>
      <c r="G6" s="11">
        <v>8.4000000000000005E-2</v>
      </c>
      <c r="H6" s="11">
        <v>-0.18</v>
      </c>
      <c r="I6" s="11">
        <v>-0.57999999999999996</v>
      </c>
      <c r="J6" s="11">
        <v>-0.56000000000000005</v>
      </c>
      <c r="K6" s="11">
        <v>-0.51</v>
      </c>
      <c r="L6" s="11">
        <v>-2.8000000000000001E-2</v>
      </c>
      <c r="M6" s="11">
        <v>-2.1999999999999999E-2</v>
      </c>
      <c r="N6" s="11">
        <v>-1.4999999999999999E-2</v>
      </c>
      <c r="O6" s="11">
        <v>-7.7999999999999996E-3</v>
      </c>
      <c r="P6" s="11">
        <v>-2.5999999999999999E-2</v>
      </c>
      <c r="Q6" s="11">
        <v>-4.5999999999999999E-3</v>
      </c>
      <c r="R6" s="11">
        <v>-0.21</v>
      </c>
    </row>
    <row r="7" spans="1:18" ht="21" x14ac:dyDescent="0.25">
      <c r="A7" s="10" t="s">
        <v>17</v>
      </c>
      <c r="B7" s="11">
        <v>1.2E-2</v>
      </c>
      <c r="C7" s="11">
        <v>-1.2E-2</v>
      </c>
      <c r="D7" s="11">
        <v>-1.4E-2</v>
      </c>
      <c r="E7" s="11">
        <v>-1.7999999999999999E-2</v>
      </c>
      <c r="F7" s="11">
        <v>8.4000000000000005E-2</v>
      </c>
      <c r="G7" s="11">
        <v>1</v>
      </c>
      <c r="H7" s="11">
        <v>-1.0999999999999999E-2</v>
      </c>
      <c r="I7" s="11">
        <v>-4.7E-2</v>
      </c>
      <c r="J7" s="11">
        <v>-4.2000000000000003E-2</v>
      </c>
      <c r="K7" s="11">
        <v>-0.17</v>
      </c>
      <c r="L7" s="11">
        <v>-8.1999999999999998E-4</v>
      </c>
      <c r="M7" s="11">
        <v>-2.8E-3</v>
      </c>
      <c r="N7" s="11">
        <v>-3.3999999999999998E-3</v>
      </c>
      <c r="O7" s="11">
        <v>2.5000000000000001E-3</v>
      </c>
      <c r="P7" s="11">
        <v>-7.2999999999999996E-4</v>
      </c>
      <c r="Q7" s="11">
        <v>4.1999999999999997E-3</v>
      </c>
      <c r="R7" s="11">
        <v>-5.3E-3</v>
      </c>
    </row>
    <row r="8" spans="1:18" x14ac:dyDescent="0.25">
      <c r="A8" s="10" t="s">
        <v>18</v>
      </c>
      <c r="B8" s="11">
        <v>0.3</v>
      </c>
      <c r="C8" s="11">
        <v>-0.3</v>
      </c>
      <c r="D8" s="11">
        <v>-0.15</v>
      </c>
      <c r="E8" s="11">
        <v>7.1999999999999995E-2</v>
      </c>
      <c r="F8" s="11">
        <v>-0.18</v>
      </c>
      <c r="G8" s="11">
        <v>-1.0999999999999999E-2</v>
      </c>
      <c r="H8" s="11">
        <v>1</v>
      </c>
      <c r="I8" s="11">
        <v>0.14000000000000001</v>
      </c>
      <c r="J8" s="11">
        <v>0.16</v>
      </c>
      <c r="K8" s="11">
        <v>0.06</v>
      </c>
      <c r="L8" s="11">
        <v>-2.9000000000000001E-2</v>
      </c>
      <c r="M8" s="11">
        <v>-5.8999999999999997E-2</v>
      </c>
      <c r="N8" s="11">
        <v>-7.2999999999999995E-2</v>
      </c>
      <c r="O8" s="11">
        <v>5.7999999999999996E-3</v>
      </c>
      <c r="P8" s="11">
        <v>3.3000000000000002E-2</v>
      </c>
      <c r="Q8" s="11">
        <v>1.2999999999999999E-2</v>
      </c>
      <c r="R8" s="11">
        <v>0.14000000000000001</v>
      </c>
    </row>
    <row r="9" spans="1:18" ht="21" x14ac:dyDescent="0.25">
      <c r="A9" s="10" t="s">
        <v>19</v>
      </c>
      <c r="B9" s="11">
        <v>-0.14000000000000001</v>
      </c>
      <c r="C9" s="11">
        <v>0.14000000000000001</v>
      </c>
      <c r="D9" s="11">
        <v>0.15</v>
      </c>
      <c r="E9" s="11">
        <v>0.44</v>
      </c>
      <c r="F9" s="11">
        <v>-0.57999999999999996</v>
      </c>
      <c r="G9" s="11">
        <v>-4.7E-2</v>
      </c>
      <c r="H9" s="11">
        <v>0.14000000000000001</v>
      </c>
      <c r="I9" s="11">
        <v>1</v>
      </c>
      <c r="J9" s="11">
        <v>0.92</v>
      </c>
      <c r="K9" s="11">
        <v>0.71</v>
      </c>
      <c r="L9" s="11">
        <v>0.03</v>
      </c>
      <c r="M9" s="11">
        <v>2.1000000000000001E-2</v>
      </c>
      <c r="N9" s="11">
        <v>1.2999999999999999E-2</v>
      </c>
      <c r="O9" s="11">
        <v>7.0000000000000001E-3</v>
      </c>
      <c r="P9" s="11">
        <v>5.1999999999999998E-3</v>
      </c>
      <c r="Q9" s="11">
        <v>-1.9E-2</v>
      </c>
      <c r="R9" s="11">
        <v>0.23</v>
      </c>
    </row>
    <row r="10" spans="1:18" ht="21" x14ac:dyDescent="0.25">
      <c r="A10" s="10" t="s">
        <v>20</v>
      </c>
      <c r="B10" s="11">
        <v>-0.19</v>
      </c>
      <c r="C10" s="11">
        <v>0.19</v>
      </c>
      <c r="D10" s="11">
        <v>0.15</v>
      </c>
      <c r="E10" s="11">
        <v>0.52</v>
      </c>
      <c r="F10" s="11">
        <v>-0.56000000000000005</v>
      </c>
      <c r="G10" s="11">
        <v>-4.2000000000000003E-2</v>
      </c>
      <c r="H10" s="11">
        <v>0.16</v>
      </c>
      <c r="I10" s="11">
        <v>0.92</v>
      </c>
      <c r="J10" s="11">
        <v>1</v>
      </c>
      <c r="K10" s="11">
        <v>0.7</v>
      </c>
      <c r="L10" s="11">
        <v>4.3999999999999997E-2</v>
      </c>
      <c r="M10" s="11">
        <v>2.9000000000000001E-2</v>
      </c>
      <c r="N10" s="11">
        <v>0.02</v>
      </c>
      <c r="O10" s="11">
        <v>-9.2999999999999992E-3</v>
      </c>
      <c r="P10" s="11">
        <v>-9.1000000000000004E-3</v>
      </c>
      <c r="Q10" s="11">
        <v>-2.9000000000000001E-2</v>
      </c>
      <c r="R10" s="11">
        <v>0.26</v>
      </c>
    </row>
    <row r="11" spans="1:18" x14ac:dyDescent="0.25">
      <c r="A11" s="10" t="s">
        <v>21</v>
      </c>
      <c r="B11" s="11">
        <v>-1.4E-2</v>
      </c>
      <c r="C11" s="11">
        <v>1.4E-2</v>
      </c>
      <c r="D11" s="11">
        <v>-3.9E-2</v>
      </c>
      <c r="E11" s="11">
        <v>0.56999999999999995</v>
      </c>
      <c r="F11" s="11">
        <v>-0.51</v>
      </c>
      <c r="G11" s="11">
        <v>-0.17</v>
      </c>
      <c r="H11" s="11">
        <v>0.06</v>
      </c>
      <c r="I11" s="11">
        <v>0.71</v>
      </c>
      <c r="J11" s="11">
        <v>0.7</v>
      </c>
      <c r="K11" s="11">
        <v>1</v>
      </c>
      <c r="L11" s="11">
        <v>5.1000000000000004E-3</v>
      </c>
      <c r="M11" s="11">
        <v>-3.9E-2</v>
      </c>
      <c r="N11" s="11">
        <v>-4.8000000000000001E-2</v>
      </c>
      <c r="O11" s="11">
        <v>-3.9E-2</v>
      </c>
      <c r="P11" s="11">
        <v>-5.3999999999999999E-2</v>
      </c>
      <c r="Q11" s="11">
        <v>-4.2000000000000003E-2</v>
      </c>
      <c r="R11" s="11">
        <v>0.38</v>
      </c>
    </row>
    <row r="12" spans="1:18" x14ac:dyDescent="0.25">
      <c r="A12" s="10" t="s">
        <v>22</v>
      </c>
      <c r="B12" s="11">
        <v>-0.15</v>
      </c>
      <c r="C12" s="11">
        <v>0.15</v>
      </c>
      <c r="D12" s="11">
        <v>9.8000000000000004E-2</v>
      </c>
      <c r="E12" s="11">
        <v>8.2000000000000003E-2</v>
      </c>
      <c r="F12" s="11">
        <v>-2.8000000000000001E-2</v>
      </c>
      <c r="G12" s="11">
        <v>-8.1999999999999998E-4</v>
      </c>
      <c r="H12" s="11">
        <v>-2.9000000000000001E-2</v>
      </c>
      <c r="I12" s="11">
        <v>0.03</v>
      </c>
      <c r="J12" s="11">
        <v>4.3999999999999997E-2</v>
      </c>
      <c r="K12" s="11">
        <v>5.1000000000000004E-3</v>
      </c>
      <c r="L12" s="11">
        <v>1</v>
      </c>
      <c r="M12" s="11">
        <v>0.9</v>
      </c>
      <c r="N12" s="11">
        <v>0.84</v>
      </c>
      <c r="O12" s="11">
        <v>4.8000000000000001E-2</v>
      </c>
      <c r="P12" s="11">
        <v>4.4999999999999998E-2</v>
      </c>
      <c r="Q12" s="11">
        <v>0.06</v>
      </c>
      <c r="R12" s="11">
        <v>-1.4999999999999999E-2</v>
      </c>
    </row>
    <row r="13" spans="1:18" x14ac:dyDescent="0.25">
      <c r="A13" s="10" t="s">
        <v>23</v>
      </c>
      <c r="B13" s="11">
        <v>-0.18</v>
      </c>
      <c r="C13" s="11">
        <v>0.18</v>
      </c>
      <c r="D13" s="11">
        <v>0.13</v>
      </c>
      <c r="E13" s="11">
        <v>3.9E-2</v>
      </c>
      <c r="F13" s="11">
        <v>-2.1999999999999999E-2</v>
      </c>
      <c r="G13" s="11">
        <v>-2.8E-3</v>
      </c>
      <c r="H13" s="11">
        <v>-5.8999999999999997E-2</v>
      </c>
      <c r="I13" s="11">
        <v>2.1000000000000001E-2</v>
      </c>
      <c r="J13" s="11">
        <v>2.9000000000000001E-2</v>
      </c>
      <c r="K13" s="11">
        <v>-3.9E-2</v>
      </c>
      <c r="L13" s="11">
        <v>0.9</v>
      </c>
      <c r="M13" s="11">
        <v>1</v>
      </c>
      <c r="N13" s="11">
        <v>0.96</v>
      </c>
      <c r="O13" s="11">
        <v>4.7E-2</v>
      </c>
      <c r="P13" s="11">
        <v>4.4999999999999998E-2</v>
      </c>
      <c r="Q13" s="11">
        <v>0.06</v>
      </c>
      <c r="R13" s="11">
        <v>-0.05</v>
      </c>
    </row>
    <row r="14" spans="1:18" x14ac:dyDescent="0.25">
      <c r="A14" s="10" t="s">
        <v>24</v>
      </c>
      <c r="B14" s="11">
        <v>-0.17</v>
      </c>
      <c r="C14" s="11">
        <v>0.17</v>
      </c>
      <c r="D14" s="11">
        <v>0.12</v>
      </c>
      <c r="E14" s="11">
        <v>1.9E-2</v>
      </c>
      <c r="F14" s="11">
        <v>-1.4999999999999999E-2</v>
      </c>
      <c r="G14" s="11">
        <v>-3.3999999999999998E-3</v>
      </c>
      <c r="H14" s="11">
        <v>-7.2999999999999995E-2</v>
      </c>
      <c r="I14" s="11">
        <v>1.2999999999999999E-2</v>
      </c>
      <c r="J14" s="11">
        <v>0.02</v>
      </c>
      <c r="K14" s="11">
        <v>-4.8000000000000001E-2</v>
      </c>
      <c r="L14" s="11">
        <v>0.84</v>
      </c>
      <c r="M14" s="11">
        <v>0.96</v>
      </c>
      <c r="N14" s="11">
        <v>1</v>
      </c>
      <c r="O14" s="11">
        <v>4.2000000000000003E-2</v>
      </c>
      <c r="P14" s="11">
        <v>4.2000000000000003E-2</v>
      </c>
      <c r="Q14" s="11">
        <v>6.2E-2</v>
      </c>
      <c r="R14" s="11">
        <v>-5.2999999999999999E-2</v>
      </c>
    </row>
    <row r="15" spans="1:18" x14ac:dyDescent="0.25">
      <c r="A15" s="10" t="s">
        <v>25</v>
      </c>
      <c r="B15" s="11">
        <v>-1.2999999999999999E-2</v>
      </c>
      <c r="C15" s="11">
        <v>1.2999999999999999E-2</v>
      </c>
      <c r="D15" s="11">
        <v>2.3E-2</v>
      </c>
      <c r="E15" s="11">
        <v>-7.4999999999999997E-2</v>
      </c>
      <c r="F15" s="11">
        <v>-7.7999999999999996E-3</v>
      </c>
      <c r="G15" s="11">
        <v>2.5000000000000001E-3</v>
      </c>
      <c r="H15" s="11">
        <v>5.7999999999999996E-3</v>
      </c>
      <c r="I15" s="11">
        <v>7.0000000000000001E-3</v>
      </c>
      <c r="J15" s="11">
        <v>-9.2999999999999992E-3</v>
      </c>
      <c r="K15" s="11">
        <v>-3.9E-2</v>
      </c>
      <c r="L15" s="11">
        <v>4.8000000000000001E-2</v>
      </c>
      <c r="M15" s="11">
        <v>4.7E-2</v>
      </c>
      <c r="N15" s="11">
        <v>4.2000000000000003E-2</v>
      </c>
      <c r="O15" s="11">
        <v>1</v>
      </c>
      <c r="P15" s="11">
        <v>0.77</v>
      </c>
      <c r="Q15" s="11">
        <v>0.54</v>
      </c>
      <c r="R15" s="11">
        <v>-2.5000000000000001E-2</v>
      </c>
    </row>
    <row r="16" spans="1:18" x14ac:dyDescent="0.25">
      <c r="A16" s="10" t="s">
        <v>26</v>
      </c>
      <c r="B16" s="11">
        <v>0.03</v>
      </c>
      <c r="C16" s="11">
        <v>-0.03</v>
      </c>
      <c r="D16" s="11">
        <v>2.2000000000000001E-3</v>
      </c>
      <c r="E16" s="11">
        <v>-3.9E-2</v>
      </c>
      <c r="F16" s="11">
        <v>-2.5999999999999999E-2</v>
      </c>
      <c r="G16" s="11">
        <v>-7.2999999999999996E-4</v>
      </c>
      <c r="H16" s="11">
        <v>3.3000000000000002E-2</v>
      </c>
      <c r="I16" s="11">
        <v>5.1999999999999998E-3</v>
      </c>
      <c r="J16" s="11">
        <v>-9.1000000000000004E-3</v>
      </c>
      <c r="K16" s="11">
        <v>-5.3999999999999999E-2</v>
      </c>
      <c r="L16" s="11">
        <v>4.4999999999999998E-2</v>
      </c>
      <c r="M16" s="11">
        <v>4.4999999999999998E-2</v>
      </c>
      <c r="N16" s="11">
        <v>4.2000000000000003E-2</v>
      </c>
      <c r="O16" s="11">
        <v>0.77</v>
      </c>
      <c r="P16" s="11">
        <v>1</v>
      </c>
      <c r="Q16" s="11">
        <v>0.79</v>
      </c>
      <c r="R16" s="11">
        <v>-2.3000000000000001E-4</v>
      </c>
    </row>
    <row r="17" spans="1:18" x14ac:dyDescent="0.25">
      <c r="A17" s="10" t="s">
        <v>27</v>
      </c>
      <c r="B17" s="11">
        <v>3.3000000000000002E-2</v>
      </c>
      <c r="C17" s="11">
        <v>-3.3000000000000002E-2</v>
      </c>
      <c r="D17" s="11">
        <v>-2.2000000000000001E-3</v>
      </c>
      <c r="E17" s="11">
        <v>-3.3000000000000002E-2</v>
      </c>
      <c r="F17" s="11">
        <v>-4.5999999999999999E-3</v>
      </c>
      <c r="G17" s="11">
        <v>4.1999999999999997E-3</v>
      </c>
      <c r="H17" s="11">
        <v>1.2999999999999999E-2</v>
      </c>
      <c r="I17" s="11">
        <v>-1.9E-2</v>
      </c>
      <c r="J17" s="11">
        <v>-2.9000000000000001E-2</v>
      </c>
      <c r="K17" s="11">
        <v>-4.2000000000000003E-2</v>
      </c>
      <c r="L17" s="11">
        <v>0.06</v>
      </c>
      <c r="M17" s="11">
        <v>0.06</v>
      </c>
      <c r="N17" s="11">
        <v>6.2E-2</v>
      </c>
      <c r="O17" s="11">
        <v>0.54</v>
      </c>
      <c r="P17" s="11">
        <v>0.79</v>
      </c>
      <c r="Q17" s="11">
        <v>1</v>
      </c>
      <c r="R17" s="11">
        <v>-6.1999999999999998E-3</v>
      </c>
    </row>
    <row r="18" spans="1:18" x14ac:dyDescent="0.25">
      <c r="A18" s="10" t="s">
        <v>28</v>
      </c>
      <c r="B18" s="11">
        <v>0.33</v>
      </c>
      <c r="C18" s="11">
        <v>-0.33</v>
      </c>
      <c r="D18" s="11">
        <v>-0.4</v>
      </c>
      <c r="E18" s="11">
        <v>0.72</v>
      </c>
      <c r="F18" s="11">
        <v>-0.21</v>
      </c>
      <c r="G18" s="11">
        <v>-5.3E-3</v>
      </c>
      <c r="H18" s="11">
        <v>0.14000000000000001</v>
      </c>
      <c r="I18" s="11">
        <v>0.23</v>
      </c>
      <c r="J18" s="11">
        <v>0.26</v>
      </c>
      <c r="K18" s="11">
        <v>0.38</v>
      </c>
      <c r="L18" s="11">
        <v>-1.4999999999999999E-2</v>
      </c>
      <c r="M18" s="11">
        <v>-0.05</v>
      </c>
      <c r="N18" s="11">
        <v>-5.2999999999999999E-2</v>
      </c>
      <c r="O18" s="11">
        <v>-2.5000000000000001E-2</v>
      </c>
      <c r="P18" s="11">
        <v>-2.3000000000000001E-4</v>
      </c>
      <c r="Q18" s="11">
        <v>-6.1999999999999998E-3</v>
      </c>
      <c r="R18" s="11">
        <v>1</v>
      </c>
    </row>
  </sheetData>
  <conditionalFormatting sqref="B2:R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R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4E28-C24D-4D0C-8380-50270EB7CD38}">
  <dimension ref="A1:D50"/>
  <sheetViews>
    <sheetView showGridLines="0" zoomScale="78" workbookViewId="0">
      <selection activeCell="D22" sqref="D22"/>
    </sheetView>
  </sheetViews>
  <sheetFormatPr defaultRowHeight="12.5" x14ac:dyDescent="0.25"/>
  <cols>
    <col min="1" max="2" width="14.90625" bestFit="1" customWidth="1"/>
  </cols>
  <sheetData>
    <row r="1" spans="1:4" ht="13" x14ac:dyDescent="0.3">
      <c r="A1" s="16" t="s">
        <v>29</v>
      </c>
      <c r="B1" s="16" t="s">
        <v>30</v>
      </c>
      <c r="C1" s="12" t="s">
        <v>31</v>
      </c>
      <c r="D1" s="12" t="s">
        <v>30</v>
      </c>
    </row>
    <row r="2" spans="1:4" ht="13" x14ac:dyDescent="0.3">
      <c r="A2" s="14" t="s">
        <v>15</v>
      </c>
      <c r="B2" s="15">
        <v>0.71810099999999999</v>
      </c>
      <c r="C2">
        <v>1</v>
      </c>
      <c r="D2" s="13">
        <v>0.71810099999999999</v>
      </c>
    </row>
    <row r="3" spans="1:4" ht="13" x14ac:dyDescent="0.3">
      <c r="A3" s="14" t="s">
        <v>14</v>
      </c>
      <c r="B3" s="15">
        <v>-0.397401</v>
      </c>
      <c r="C3">
        <v>2</v>
      </c>
      <c r="D3" s="13">
        <v>-0.397401</v>
      </c>
    </row>
    <row r="4" spans="1:4" ht="13" x14ac:dyDescent="0.3">
      <c r="A4" s="14" t="s">
        <v>21</v>
      </c>
      <c r="B4" s="15">
        <v>0.38450499999999999</v>
      </c>
      <c r="C4">
        <v>3</v>
      </c>
      <c r="D4" s="13">
        <v>0.38450499999999999</v>
      </c>
    </row>
    <row r="5" spans="1:4" ht="13" x14ac:dyDescent="0.3">
      <c r="A5" s="14" t="s">
        <v>12</v>
      </c>
      <c r="B5" s="15">
        <v>0.32532899999999998</v>
      </c>
      <c r="C5">
        <v>4</v>
      </c>
      <c r="D5" s="13">
        <v>0.32532899999999998</v>
      </c>
    </row>
    <row r="6" spans="1:4" ht="13" x14ac:dyDescent="0.3">
      <c r="A6" s="14" t="s">
        <v>13</v>
      </c>
      <c r="B6" s="15">
        <v>-0.32532899999999998</v>
      </c>
      <c r="C6">
        <v>5</v>
      </c>
      <c r="D6" s="13">
        <v>-0.32532899999999998</v>
      </c>
    </row>
    <row r="7" spans="1:4" ht="13" x14ac:dyDescent="0.3">
      <c r="A7" s="14" t="s">
        <v>20</v>
      </c>
      <c r="B7" s="15">
        <v>0.259718</v>
      </c>
      <c r="C7">
        <v>6</v>
      </c>
      <c r="D7" s="13">
        <v>0.259718</v>
      </c>
    </row>
    <row r="8" spans="1:4" ht="13" x14ac:dyDescent="0.3">
      <c r="A8" s="14" t="s">
        <v>19</v>
      </c>
      <c r="B8" s="15">
        <v>0.22869900000000001</v>
      </c>
      <c r="C8">
        <v>7</v>
      </c>
      <c r="D8" s="13">
        <v>0.22869900000000001</v>
      </c>
    </row>
    <row r="9" spans="1:4" ht="13" x14ac:dyDescent="0.3">
      <c r="A9" s="14" t="s">
        <v>16</v>
      </c>
      <c r="B9" s="15">
        <v>-0.20801500000000001</v>
      </c>
      <c r="C9">
        <v>8</v>
      </c>
      <c r="D9" s="13">
        <v>-0.20801500000000001</v>
      </c>
    </row>
    <row r="10" spans="1:4" ht="13" x14ac:dyDescent="0.3">
      <c r="A10" s="14" t="s">
        <v>18</v>
      </c>
      <c r="B10" s="15">
        <v>0.136128</v>
      </c>
      <c r="C10">
        <v>9</v>
      </c>
      <c r="D10" s="13">
        <v>0.136128</v>
      </c>
    </row>
    <row r="11" spans="1:4" ht="13" x14ac:dyDescent="0.3">
      <c r="A11" s="14" t="s">
        <v>24</v>
      </c>
      <c r="B11" s="15">
        <v>-5.2893999999999997E-2</v>
      </c>
      <c r="C11">
        <v>10</v>
      </c>
      <c r="D11" s="13">
        <v>-5.2893999999999997E-2</v>
      </c>
    </row>
    <row r="12" spans="1:4" ht="13" x14ac:dyDescent="0.3">
      <c r="A12" s="14" t="s">
        <v>23</v>
      </c>
      <c r="B12" s="15">
        <v>-4.9537999999999999E-2</v>
      </c>
      <c r="C12">
        <v>11</v>
      </c>
      <c r="D12" s="13">
        <v>-4.9537999999999999E-2</v>
      </c>
    </row>
    <row r="13" spans="1:4" ht="13" x14ac:dyDescent="0.3">
      <c r="A13" s="14" t="s">
        <v>25</v>
      </c>
      <c r="B13" s="15">
        <v>-2.4886999999999999E-2</v>
      </c>
      <c r="C13">
        <v>12</v>
      </c>
      <c r="D13" s="13">
        <v>-2.4886999999999999E-2</v>
      </c>
    </row>
    <row r="14" spans="1:4" ht="13" x14ac:dyDescent="0.3">
      <c r="A14" s="14" t="s">
        <v>22</v>
      </c>
      <c r="B14" s="15">
        <v>-1.5245999999999999E-2</v>
      </c>
      <c r="C14">
        <v>13</v>
      </c>
      <c r="D14" s="13">
        <v>-1.5245999999999999E-2</v>
      </c>
    </row>
    <row r="15" spans="1:4" ht="13" x14ac:dyDescent="0.3">
      <c r="A15" s="14" t="s">
        <v>27</v>
      </c>
      <c r="B15" s="15">
        <v>-6.1999999999999998E-3</v>
      </c>
      <c r="C15">
        <v>14</v>
      </c>
      <c r="D15" s="13">
        <v>-6.1999999999999998E-3</v>
      </c>
    </row>
    <row r="16" spans="1:4" ht="13" x14ac:dyDescent="0.3">
      <c r="A16" s="14" t="s">
        <v>17</v>
      </c>
      <c r="B16" s="15">
        <v>-5.2570000000000004E-3</v>
      </c>
      <c r="C16">
        <v>15</v>
      </c>
      <c r="D16" s="13">
        <v>-5.2570000000000004E-3</v>
      </c>
    </row>
    <row r="17" spans="1:4" ht="13" x14ac:dyDescent="0.3">
      <c r="A17" s="14" t="s">
        <v>26</v>
      </c>
      <c r="B17" s="15">
        <v>-2.2699999999999999E-4</v>
      </c>
      <c r="C17">
        <v>16</v>
      </c>
      <c r="D17" s="13">
        <v>-2.2699999999999999E-4</v>
      </c>
    </row>
    <row r="34" spans="2:3" ht="13" x14ac:dyDescent="0.3">
      <c r="B34" s="17" t="s">
        <v>29</v>
      </c>
      <c r="C34" s="17" t="s">
        <v>30</v>
      </c>
    </row>
    <row r="35" spans="2:3" ht="13" x14ac:dyDescent="0.3">
      <c r="B35" s="18" t="s">
        <v>15</v>
      </c>
      <c r="C35" s="19">
        <v>0.71810099999999999</v>
      </c>
    </row>
    <row r="36" spans="2:3" ht="13" x14ac:dyDescent="0.3">
      <c r="B36" s="18" t="s">
        <v>14</v>
      </c>
      <c r="C36" s="19">
        <v>-0.397401</v>
      </c>
    </row>
    <row r="37" spans="2:3" ht="13" x14ac:dyDescent="0.3">
      <c r="B37" s="18" t="s">
        <v>21</v>
      </c>
      <c r="C37" s="19">
        <v>0.38450499999999999</v>
      </c>
    </row>
    <row r="38" spans="2:3" ht="13" x14ac:dyDescent="0.3">
      <c r="B38" s="18" t="s">
        <v>12</v>
      </c>
      <c r="C38" s="19">
        <v>0.32532899999999998</v>
      </c>
    </row>
    <row r="39" spans="2:3" ht="13" x14ac:dyDescent="0.3">
      <c r="B39" s="18" t="s">
        <v>13</v>
      </c>
      <c r="C39" s="19">
        <v>-0.32532899999999998</v>
      </c>
    </row>
    <row r="40" spans="2:3" ht="13" x14ac:dyDescent="0.3">
      <c r="B40" s="18" t="s">
        <v>20</v>
      </c>
      <c r="C40" s="19">
        <v>0.259718</v>
      </c>
    </row>
    <row r="41" spans="2:3" ht="13" x14ac:dyDescent="0.3">
      <c r="B41" s="18" t="s">
        <v>19</v>
      </c>
      <c r="C41" s="19">
        <v>0.22869900000000001</v>
      </c>
    </row>
    <row r="42" spans="2:3" ht="13" x14ac:dyDescent="0.3">
      <c r="B42" s="18" t="s">
        <v>16</v>
      </c>
      <c r="C42" s="19">
        <v>-0.20801500000000001</v>
      </c>
    </row>
    <row r="43" spans="2:3" ht="13" x14ac:dyDescent="0.3">
      <c r="B43" s="18" t="s">
        <v>18</v>
      </c>
      <c r="C43" s="19">
        <v>0.136128</v>
      </c>
    </row>
    <row r="44" spans="2:3" ht="13" x14ac:dyDescent="0.3">
      <c r="B44" s="18" t="s">
        <v>24</v>
      </c>
      <c r="C44" s="19">
        <v>-5.2893999999999997E-2</v>
      </c>
    </row>
    <row r="45" spans="2:3" ht="13" x14ac:dyDescent="0.3">
      <c r="B45" s="18" t="s">
        <v>23</v>
      </c>
      <c r="C45" s="19">
        <v>-4.9537999999999999E-2</v>
      </c>
    </row>
    <row r="46" spans="2:3" ht="13" x14ac:dyDescent="0.3">
      <c r="B46" s="18" t="s">
        <v>25</v>
      </c>
      <c r="C46" s="19">
        <v>-2.4886999999999999E-2</v>
      </c>
    </row>
    <row r="47" spans="2:3" ht="13" x14ac:dyDescent="0.3">
      <c r="B47" s="18" t="s">
        <v>22</v>
      </c>
      <c r="C47" s="19">
        <v>-1.5245999999999999E-2</v>
      </c>
    </row>
    <row r="48" spans="2:3" ht="13" x14ac:dyDescent="0.3">
      <c r="B48" s="18" t="s">
        <v>27</v>
      </c>
      <c r="C48" s="19">
        <v>-6.1999999999999998E-3</v>
      </c>
    </row>
    <row r="49" spans="2:3" ht="13" x14ac:dyDescent="0.3">
      <c r="B49" s="18" t="s">
        <v>26</v>
      </c>
      <c r="C49" s="19">
        <v>-2.2699999999999999E-4</v>
      </c>
    </row>
    <row r="50" spans="2:3" ht="13" x14ac:dyDescent="0.3">
      <c r="B50" s="18" t="s">
        <v>17</v>
      </c>
      <c r="C50" s="19">
        <v>-5.2570000000000004E-3</v>
      </c>
    </row>
  </sheetData>
  <conditionalFormatting sqref="B2:B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C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9946-F92B-485F-B26D-EA1466A5B2F7}">
  <dimension ref="A1:AG9"/>
  <sheetViews>
    <sheetView showGridLines="0" workbookViewId="0">
      <selection activeCell="K17" sqref="K17"/>
    </sheetView>
  </sheetViews>
  <sheetFormatPr defaultRowHeight="12.5" x14ac:dyDescent="0.25"/>
  <cols>
    <col min="1" max="1" width="29.26953125" bestFit="1" customWidth="1"/>
    <col min="2" max="2" width="9.36328125" bestFit="1" customWidth="1"/>
  </cols>
  <sheetData>
    <row r="1" spans="1:33" ht="13" x14ac:dyDescent="0.3">
      <c r="A1" s="21" t="s">
        <v>8</v>
      </c>
      <c r="B1" s="21" t="s">
        <v>9</v>
      </c>
      <c r="D1" s="21" t="s">
        <v>10</v>
      </c>
      <c r="E1" s="21" t="s">
        <v>0</v>
      </c>
      <c r="F1" s="21" t="s">
        <v>1</v>
      </c>
      <c r="G1" s="21" t="s">
        <v>2</v>
      </c>
      <c r="H1" s="21" t="s">
        <v>3</v>
      </c>
      <c r="I1" s="21" t="s">
        <v>4</v>
      </c>
      <c r="J1" s="21" t="s">
        <v>5</v>
      </c>
      <c r="K1" s="21" t="s">
        <v>6</v>
      </c>
      <c r="L1" s="21" t="s">
        <v>7</v>
      </c>
      <c r="M1" s="9"/>
      <c r="N1" s="21" t="s">
        <v>10</v>
      </c>
      <c r="O1" s="21" t="s">
        <v>0</v>
      </c>
      <c r="P1" s="21" t="s">
        <v>1</v>
      </c>
      <c r="Q1" s="21" t="s">
        <v>2</v>
      </c>
      <c r="R1" s="21" t="s">
        <v>3</v>
      </c>
      <c r="S1" s="21" t="s">
        <v>4</v>
      </c>
      <c r="T1" s="21" t="s">
        <v>5</v>
      </c>
      <c r="U1" s="21" t="s">
        <v>6</v>
      </c>
      <c r="V1" s="21" t="s">
        <v>7</v>
      </c>
      <c r="X1" s="21"/>
      <c r="Y1" s="21" t="s">
        <v>1</v>
      </c>
      <c r="Z1" s="21" t="s">
        <v>2</v>
      </c>
      <c r="AA1" s="21" t="s">
        <v>11</v>
      </c>
      <c r="AB1" s="21" t="s">
        <v>0</v>
      </c>
      <c r="AC1" s="21" t="s">
        <v>6</v>
      </c>
      <c r="AD1" s="21" t="s">
        <v>4</v>
      </c>
      <c r="AE1" s="21" t="s">
        <v>7</v>
      </c>
      <c r="AF1" s="21" t="s">
        <v>5</v>
      </c>
    </row>
    <row r="2" spans="1:33" ht="13" x14ac:dyDescent="0.25">
      <c r="A2" s="20" t="s">
        <v>5</v>
      </c>
      <c r="B2" s="22">
        <f>AVERAGE(Form_Responses1[Equipamiento])</f>
        <v>6.25</v>
      </c>
      <c r="C2" s="23"/>
      <c r="D2" s="24">
        <v>1</v>
      </c>
      <c r="E2" s="24">
        <f>COUNTIF(Form_Responses1[Edad],D2)</f>
        <v>3</v>
      </c>
      <c r="F2" s="24">
        <f>COUNTIF(Form_Responses1[Precio],D2)</f>
        <v>7</v>
      </c>
      <c r="G2" s="24">
        <f>COUNTIF(Form_Responses1[Marca y modelo],D2)</f>
        <v>2</v>
      </c>
      <c r="H2" s="24">
        <f>COUNTIF(Form_Responses1[[Tipo y consumo de combustible ]],D2)</f>
        <v>4</v>
      </c>
      <c r="I2" s="24">
        <f>COUNTIF(Form_Responses1[[Color ]],D2)</f>
        <v>5</v>
      </c>
      <c r="J2" s="24">
        <f>COUNTIF(Form_Responses1[Equipamiento],D2)</f>
        <v>0</v>
      </c>
      <c r="K2" s="24">
        <f>COUNTIF(Form_Responses1[Tecnología],D2)</f>
        <v>0</v>
      </c>
      <c r="L2" s="24">
        <f>COUNTIF(Form_Responses1[Kilometraje],D2)</f>
        <v>3</v>
      </c>
      <c r="M2" s="23"/>
      <c r="N2" s="24">
        <v>1</v>
      </c>
      <c r="O2" s="24">
        <f t="shared" ref="O2:V9" si="0">E2/SUM($E2:$L2)</f>
        <v>0.125</v>
      </c>
      <c r="P2" s="24">
        <f t="shared" si="0"/>
        <v>0.29166666666666669</v>
      </c>
      <c r="Q2" s="24">
        <f t="shared" si="0"/>
        <v>8.3333333333333329E-2</v>
      </c>
      <c r="R2" s="24">
        <f t="shared" si="0"/>
        <v>0.16666666666666666</v>
      </c>
      <c r="S2" s="24">
        <f t="shared" si="0"/>
        <v>0.20833333333333334</v>
      </c>
      <c r="T2" s="24">
        <f t="shared" si="0"/>
        <v>0</v>
      </c>
      <c r="U2" s="24">
        <f t="shared" si="0"/>
        <v>0</v>
      </c>
      <c r="V2" s="24">
        <f t="shared" si="0"/>
        <v>0.125</v>
      </c>
      <c r="W2" s="23"/>
      <c r="X2" s="24">
        <v>8</v>
      </c>
      <c r="Y2" s="24">
        <v>8.3333333333333329E-2</v>
      </c>
      <c r="Z2" s="24">
        <v>0</v>
      </c>
      <c r="AA2" s="24">
        <v>4.1666666666666664E-2</v>
      </c>
      <c r="AB2" s="24">
        <v>4.1666666666666664E-2</v>
      </c>
      <c r="AC2" s="24">
        <v>0</v>
      </c>
      <c r="AD2" s="24">
        <v>0.29166666666666669</v>
      </c>
      <c r="AE2" s="24">
        <v>0.25</v>
      </c>
      <c r="AF2" s="24">
        <v>0.29166666666666669</v>
      </c>
      <c r="AG2" s="23"/>
    </row>
    <row r="3" spans="1:33" ht="13" x14ac:dyDescent="0.25">
      <c r="A3" s="20" t="s">
        <v>7</v>
      </c>
      <c r="B3" s="22">
        <f>AVERAGE(Form_Responses1[Kilometraje])</f>
        <v>5.458333333333333</v>
      </c>
      <c r="C3" s="23"/>
      <c r="D3" s="24">
        <v>2</v>
      </c>
      <c r="E3" s="24">
        <f>COUNTIF(Form_Responses1[Edad],D3)</f>
        <v>5</v>
      </c>
      <c r="F3" s="24">
        <f>COUNTIF(Form_Responses1[Precio],D3)</f>
        <v>5</v>
      </c>
      <c r="G3" s="24">
        <f>COUNTIF(Form_Responses1[Marca y modelo],D3)</f>
        <v>6</v>
      </c>
      <c r="H3" s="24">
        <f>COUNTIF(Form_Responses1[[Tipo y consumo de combustible ]],D3)</f>
        <v>2</v>
      </c>
      <c r="I3" s="24">
        <f>COUNTIF(Form_Responses1[[Color ]],D3)</f>
        <v>2</v>
      </c>
      <c r="J3" s="24">
        <f>COUNTIF(Form_Responses1[Equipamiento],D3)</f>
        <v>1</v>
      </c>
      <c r="K3" s="24">
        <f>COUNTIF(Form_Responses1[Tecnología],D3)</f>
        <v>2</v>
      </c>
      <c r="L3" s="24">
        <f>COUNTIF(Form_Responses1[Kilometraje],D3)</f>
        <v>1</v>
      </c>
      <c r="M3" s="23"/>
      <c r="N3" s="24">
        <v>2</v>
      </c>
      <c r="O3" s="24">
        <f t="shared" si="0"/>
        <v>0.20833333333333334</v>
      </c>
      <c r="P3" s="24">
        <f t="shared" si="0"/>
        <v>0.20833333333333334</v>
      </c>
      <c r="Q3" s="24">
        <f t="shared" si="0"/>
        <v>0.25</v>
      </c>
      <c r="R3" s="24">
        <f t="shared" si="0"/>
        <v>8.3333333333333329E-2</v>
      </c>
      <c r="S3" s="24">
        <f t="shared" si="0"/>
        <v>8.3333333333333329E-2</v>
      </c>
      <c r="T3" s="24">
        <f t="shared" si="0"/>
        <v>4.1666666666666664E-2</v>
      </c>
      <c r="U3" s="24">
        <f t="shared" si="0"/>
        <v>8.3333333333333329E-2</v>
      </c>
      <c r="V3" s="24">
        <f t="shared" si="0"/>
        <v>4.1666666666666664E-2</v>
      </c>
      <c r="W3" s="23"/>
      <c r="X3" s="24">
        <v>7</v>
      </c>
      <c r="Y3" s="24">
        <v>4.1666666666666664E-2</v>
      </c>
      <c r="Z3" s="24">
        <v>4.1666666666666664E-2</v>
      </c>
      <c r="AA3" s="24">
        <v>0</v>
      </c>
      <c r="AB3" s="24">
        <v>0.20833333333333334</v>
      </c>
      <c r="AC3" s="24">
        <v>0.125</v>
      </c>
      <c r="AD3" s="24">
        <v>0.25</v>
      </c>
      <c r="AE3" s="24">
        <v>0.16666666666666666</v>
      </c>
      <c r="AF3" s="24">
        <v>0.16666666666666666</v>
      </c>
      <c r="AG3" s="23"/>
    </row>
    <row r="4" spans="1:33" ht="13" x14ac:dyDescent="0.25">
      <c r="A4" s="20" t="s">
        <v>4</v>
      </c>
      <c r="B4" s="22">
        <f>AVERAGE(Form_Responses1[[Color ]])</f>
        <v>5.291666666666667</v>
      </c>
      <c r="C4" s="23"/>
      <c r="D4" s="24">
        <v>3</v>
      </c>
      <c r="E4" s="24">
        <f>COUNTIF(Form_Responses1[Edad],D4)</f>
        <v>2</v>
      </c>
      <c r="F4" s="24">
        <f>COUNTIF(Form_Responses1[Precio],D4)</f>
        <v>4</v>
      </c>
      <c r="G4" s="24">
        <f>COUNTIF(Form_Responses1[Marca y modelo],D4)</f>
        <v>7</v>
      </c>
      <c r="H4" s="24">
        <f>COUNTIF(Form_Responses1[[Tipo y consumo de combustible ]],D4)</f>
        <v>5</v>
      </c>
      <c r="I4" s="24">
        <f>COUNTIF(Form_Responses1[[Color ]],D4)</f>
        <v>0</v>
      </c>
      <c r="J4" s="24">
        <f>COUNTIF(Form_Responses1[Equipamiento],D4)</f>
        <v>1</v>
      </c>
      <c r="K4" s="24">
        <f>COUNTIF(Form_Responses1[Tecnología],D4)</f>
        <v>4</v>
      </c>
      <c r="L4" s="24">
        <f>COUNTIF(Form_Responses1[Kilometraje],D4)</f>
        <v>1</v>
      </c>
      <c r="M4" s="23"/>
      <c r="N4" s="24">
        <v>3</v>
      </c>
      <c r="O4" s="24">
        <f t="shared" si="0"/>
        <v>8.3333333333333329E-2</v>
      </c>
      <c r="P4" s="24">
        <f t="shared" si="0"/>
        <v>0.16666666666666666</v>
      </c>
      <c r="Q4" s="24">
        <f t="shared" si="0"/>
        <v>0.29166666666666669</v>
      </c>
      <c r="R4" s="24">
        <f t="shared" si="0"/>
        <v>0.20833333333333334</v>
      </c>
      <c r="S4" s="24">
        <f t="shared" si="0"/>
        <v>0</v>
      </c>
      <c r="T4" s="24">
        <f t="shared" si="0"/>
        <v>4.1666666666666664E-2</v>
      </c>
      <c r="U4" s="24">
        <f t="shared" si="0"/>
        <v>0.16666666666666666</v>
      </c>
      <c r="V4" s="24">
        <f t="shared" si="0"/>
        <v>4.1666666666666664E-2</v>
      </c>
      <c r="W4" s="23"/>
      <c r="X4" s="24">
        <v>6</v>
      </c>
      <c r="Y4" s="24">
        <v>8.3333333333333329E-2</v>
      </c>
      <c r="Z4" s="24">
        <v>4.1666666666666664E-2</v>
      </c>
      <c r="AA4" s="24">
        <v>0.125</v>
      </c>
      <c r="AB4" s="24">
        <v>4.1666666666666664E-2</v>
      </c>
      <c r="AC4" s="24">
        <v>0.20833333333333334</v>
      </c>
      <c r="AD4" s="24">
        <v>4.1666666666666664E-2</v>
      </c>
      <c r="AE4" s="24">
        <v>0.16666666666666666</v>
      </c>
      <c r="AF4" s="24">
        <v>0.29166666666666669</v>
      </c>
      <c r="AG4" s="23"/>
    </row>
    <row r="5" spans="1:33" ht="13" x14ac:dyDescent="0.25">
      <c r="A5" s="20" t="s">
        <v>6</v>
      </c>
      <c r="B5" s="22">
        <f>AVERAGE(Form_Responses1[Tecnología])</f>
        <v>4.708333333333333</v>
      </c>
      <c r="C5" s="23"/>
      <c r="D5" s="24">
        <v>4</v>
      </c>
      <c r="E5" s="24">
        <f>COUNTIF(Form_Responses1[Edad],D5)</f>
        <v>6</v>
      </c>
      <c r="F5" s="24">
        <f>COUNTIF(Form_Responses1[Precio],D5)</f>
        <v>2</v>
      </c>
      <c r="G5" s="24">
        <f>COUNTIF(Form_Responses1[Marca y modelo],D5)</f>
        <v>4</v>
      </c>
      <c r="H5" s="24">
        <f>COUNTIF(Form_Responses1[[Tipo y consumo de combustible ]],D5)</f>
        <v>4</v>
      </c>
      <c r="I5" s="24">
        <f>COUNTIF(Form_Responses1[[Color ]],D5)</f>
        <v>1</v>
      </c>
      <c r="J5" s="24">
        <f>COUNTIF(Form_Responses1[Equipamiento],D5)</f>
        <v>1</v>
      </c>
      <c r="K5" s="24">
        <f>COUNTIF(Form_Responses1[Tecnología],D5)</f>
        <v>4</v>
      </c>
      <c r="L5" s="24">
        <f>COUNTIF(Form_Responses1[Kilometraje],D5)</f>
        <v>2</v>
      </c>
      <c r="M5" s="23"/>
      <c r="N5" s="24">
        <v>4</v>
      </c>
      <c r="O5" s="24">
        <f t="shared" si="0"/>
        <v>0.25</v>
      </c>
      <c r="P5" s="24">
        <f t="shared" si="0"/>
        <v>8.3333333333333329E-2</v>
      </c>
      <c r="Q5" s="24">
        <f t="shared" si="0"/>
        <v>0.16666666666666666</v>
      </c>
      <c r="R5" s="24">
        <f t="shared" si="0"/>
        <v>0.16666666666666666</v>
      </c>
      <c r="S5" s="24">
        <f t="shared" si="0"/>
        <v>4.1666666666666664E-2</v>
      </c>
      <c r="T5" s="24">
        <f t="shared" si="0"/>
        <v>4.1666666666666664E-2</v>
      </c>
      <c r="U5" s="24">
        <f t="shared" si="0"/>
        <v>0.16666666666666666</v>
      </c>
      <c r="V5" s="24">
        <f t="shared" si="0"/>
        <v>8.3333333333333329E-2</v>
      </c>
      <c r="W5" s="23"/>
      <c r="X5" s="24">
        <v>5</v>
      </c>
      <c r="Y5" s="24">
        <v>4.1666666666666664E-2</v>
      </c>
      <c r="Z5" s="24">
        <v>0.125</v>
      </c>
      <c r="AA5" s="24">
        <v>0.20833333333333334</v>
      </c>
      <c r="AB5" s="24">
        <v>4.1666666666666664E-2</v>
      </c>
      <c r="AC5" s="24">
        <v>0.25</v>
      </c>
      <c r="AD5" s="24">
        <v>8.3333333333333329E-2</v>
      </c>
      <c r="AE5" s="24">
        <v>0.125</v>
      </c>
      <c r="AF5" s="24">
        <v>0.125</v>
      </c>
      <c r="AG5" s="23"/>
    </row>
    <row r="6" spans="1:33" ht="13" x14ac:dyDescent="0.25">
      <c r="A6" s="20" t="s">
        <v>0</v>
      </c>
      <c r="B6" s="22">
        <f>AVERAGE(Form_Responses1[Edad])</f>
        <v>4.041666666666667</v>
      </c>
      <c r="C6" s="23"/>
      <c r="D6" s="24">
        <v>5</v>
      </c>
      <c r="E6" s="24">
        <f>COUNTIF(Form_Responses1[Edad],D6)</f>
        <v>1</v>
      </c>
      <c r="F6" s="24">
        <f>COUNTIF(Form_Responses1[Precio],D6)</f>
        <v>1</v>
      </c>
      <c r="G6" s="24">
        <f>COUNTIF(Form_Responses1[Marca y modelo],D6)</f>
        <v>3</v>
      </c>
      <c r="H6" s="24">
        <f>COUNTIF(Form_Responses1[[Tipo y consumo de combustible ]],D6)</f>
        <v>5</v>
      </c>
      <c r="I6" s="24">
        <f>COUNTIF(Form_Responses1[[Color ]],D6)</f>
        <v>2</v>
      </c>
      <c r="J6" s="24">
        <f>COUNTIF(Form_Responses1[Equipamiento],D6)</f>
        <v>3</v>
      </c>
      <c r="K6" s="24">
        <f>COUNTIF(Form_Responses1[Tecnología],D6)</f>
        <v>6</v>
      </c>
      <c r="L6" s="24">
        <f>COUNTIF(Form_Responses1[Kilometraje],D6)</f>
        <v>3</v>
      </c>
      <c r="M6" s="23"/>
      <c r="N6" s="24">
        <v>5</v>
      </c>
      <c r="O6" s="24">
        <f t="shared" si="0"/>
        <v>4.1666666666666664E-2</v>
      </c>
      <c r="P6" s="24">
        <f t="shared" si="0"/>
        <v>4.1666666666666664E-2</v>
      </c>
      <c r="Q6" s="24">
        <f t="shared" si="0"/>
        <v>0.125</v>
      </c>
      <c r="R6" s="24">
        <f t="shared" si="0"/>
        <v>0.20833333333333334</v>
      </c>
      <c r="S6" s="24">
        <f t="shared" si="0"/>
        <v>8.3333333333333329E-2</v>
      </c>
      <c r="T6" s="24">
        <f t="shared" si="0"/>
        <v>0.125</v>
      </c>
      <c r="U6" s="24">
        <f t="shared" si="0"/>
        <v>0.25</v>
      </c>
      <c r="V6" s="24">
        <f t="shared" si="0"/>
        <v>0.125</v>
      </c>
      <c r="W6" s="23"/>
      <c r="X6" s="24">
        <v>4</v>
      </c>
      <c r="Y6" s="24">
        <v>8.3333333333333329E-2</v>
      </c>
      <c r="Z6" s="24">
        <v>0.16666666666666666</v>
      </c>
      <c r="AA6" s="24">
        <v>0.16666666666666666</v>
      </c>
      <c r="AB6" s="24">
        <v>0.25</v>
      </c>
      <c r="AC6" s="24">
        <v>0.16666666666666666</v>
      </c>
      <c r="AD6" s="24">
        <v>4.1666666666666664E-2</v>
      </c>
      <c r="AE6" s="24">
        <v>8.3333333333333329E-2</v>
      </c>
      <c r="AF6" s="24">
        <v>4.1666666666666664E-2</v>
      </c>
      <c r="AG6" s="23"/>
    </row>
    <row r="7" spans="1:33" ht="13" x14ac:dyDescent="0.25">
      <c r="A7" s="20" t="s">
        <v>3</v>
      </c>
      <c r="B7" s="22">
        <f>AVERAGE(Form_Responses1[[Tipo y consumo de combustible ]])</f>
        <v>3.75</v>
      </c>
      <c r="C7" s="23"/>
      <c r="D7" s="24">
        <v>6</v>
      </c>
      <c r="E7" s="24">
        <f>COUNTIF(Form_Responses1[Edad],D7)</f>
        <v>1</v>
      </c>
      <c r="F7" s="24">
        <f>COUNTIF(Form_Responses1[Precio],D7)</f>
        <v>2</v>
      </c>
      <c r="G7" s="24">
        <f>COUNTIF(Form_Responses1[Marca y modelo],D7)</f>
        <v>1</v>
      </c>
      <c r="H7" s="24">
        <f>COUNTIF(Form_Responses1[[Tipo y consumo de combustible ]],D7)</f>
        <v>3</v>
      </c>
      <c r="I7" s="24">
        <f>COUNTIF(Form_Responses1[[Color ]],D7)</f>
        <v>1</v>
      </c>
      <c r="J7" s="24">
        <f>COUNTIF(Form_Responses1[Equipamiento],D7)</f>
        <v>7</v>
      </c>
      <c r="K7" s="24">
        <f>COUNTIF(Form_Responses1[Tecnología],D7)</f>
        <v>5</v>
      </c>
      <c r="L7" s="24">
        <f>COUNTIF(Form_Responses1[Kilometraje],D7)</f>
        <v>4</v>
      </c>
      <c r="M7" s="23"/>
      <c r="N7" s="24">
        <v>6</v>
      </c>
      <c r="O7" s="24">
        <f t="shared" si="0"/>
        <v>4.1666666666666664E-2</v>
      </c>
      <c r="P7" s="24">
        <f t="shared" si="0"/>
        <v>8.3333333333333329E-2</v>
      </c>
      <c r="Q7" s="24">
        <f t="shared" si="0"/>
        <v>4.1666666666666664E-2</v>
      </c>
      <c r="R7" s="24">
        <f t="shared" si="0"/>
        <v>0.125</v>
      </c>
      <c r="S7" s="24">
        <f t="shared" si="0"/>
        <v>4.1666666666666664E-2</v>
      </c>
      <c r="T7" s="24">
        <f t="shared" si="0"/>
        <v>0.29166666666666669</v>
      </c>
      <c r="U7" s="24">
        <f t="shared" si="0"/>
        <v>0.20833333333333334</v>
      </c>
      <c r="V7" s="24">
        <f t="shared" si="0"/>
        <v>0.16666666666666666</v>
      </c>
      <c r="W7" s="23"/>
      <c r="X7" s="24">
        <v>3</v>
      </c>
      <c r="Y7" s="24">
        <v>0.16666666666666666</v>
      </c>
      <c r="Z7" s="24">
        <v>0.29166666666666669</v>
      </c>
      <c r="AA7" s="24">
        <v>0.20833333333333334</v>
      </c>
      <c r="AB7" s="24">
        <v>8.3333333333333329E-2</v>
      </c>
      <c r="AC7" s="24">
        <v>0.16666666666666666</v>
      </c>
      <c r="AD7" s="24">
        <v>0</v>
      </c>
      <c r="AE7" s="24">
        <v>4.1666666666666664E-2</v>
      </c>
      <c r="AF7" s="24">
        <v>4.1666666666666664E-2</v>
      </c>
      <c r="AG7" s="23"/>
    </row>
    <row r="8" spans="1:33" ht="13" x14ac:dyDescent="0.25">
      <c r="A8" s="20" t="s">
        <v>2</v>
      </c>
      <c r="B8" s="22">
        <f>AVERAGE(Form_Responses1[Marca y modelo])</f>
        <v>3.2916666666666665</v>
      </c>
      <c r="C8" s="23"/>
      <c r="D8" s="24">
        <v>7</v>
      </c>
      <c r="E8" s="24">
        <f>COUNTIF(Form_Responses1[Edad],D8)</f>
        <v>5</v>
      </c>
      <c r="F8" s="24">
        <f>COUNTIF(Form_Responses1[Precio],D8)</f>
        <v>1</v>
      </c>
      <c r="G8" s="24">
        <f>COUNTIF(Form_Responses1[Marca y modelo],D8)</f>
        <v>1</v>
      </c>
      <c r="H8" s="24">
        <f>COUNTIF(Form_Responses1[[Tipo y consumo de combustible ]],D8)</f>
        <v>0</v>
      </c>
      <c r="I8" s="24">
        <f>COUNTIF(Form_Responses1[[Color ]],D8)</f>
        <v>6</v>
      </c>
      <c r="J8" s="24">
        <f>COUNTIF(Form_Responses1[Equipamiento],D8)</f>
        <v>4</v>
      </c>
      <c r="K8" s="24">
        <f>COUNTIF(Form_Responses1[Tecnología],D8)</f>
        <v>3</v>
      </c>
      <c r="L8" s="24">
        <f>COUNTIF(Form_Responses1[Kilometraje],D8)</f>
        <v>4</v>
      </c>
      <c r="M8" s="23"/>
      <c r="N8" s="24">
        <v>7</v>
      </c>
      <c r="O8" s="24">
        <f t="shared" si="0"/>
        <v>0.20833333333333334</v>
      </c>
      <c r="P8" s="24">
        <f t="shared" si="0"/>
        <v>4.1666666666666664E-2</v>
      </c>
      <c r="Q8" s="24">
        <f t="shared" si="0"/>
        <v>4.1666666666666664E-2</v>
      </c>
      <c r="R8" s="24">
        <f t="shared" si="0"/>
        <v>0</v>
      </c>
      <c r="S8" s="24">
        <f t="shared" si="0"/>
        <v>0.25</v>
      </c>
      <c r="T8" s="24">
        <f t="shared" si="0"/>
        <v>0.16666666666666666</v>
      </c>
      <c r="U8" s="24">
        <f t="shared" si="0"/>
        <v>0.125</v>
      </c>
      <c r="V8" s="24">
        <f t="shared" si="0"/>
        <v>0.16666666666666666</v>
      </c>
      <c r="W8" s="23"/>
      <c r="X8" s="24">
        <v>2</v>
      </c>
      <c r="Y8" s="24">
        <v>0.20833333333333334</v>
      </c>
      <c r="Z8" s="24">
        <v>0.25</v>
      </c>
      <c r="AA8" s="24">
        <v>8.3333333333333329E-2</v>
      </c>
      <c r="AB8" s="24">
        <v>0.20833333333333334</v>
      </c>
      <c r="AC8" s="24">
        <v>8.3333333333333329E-2</v>
      </c>
      <c r="AD8" s="24">
        <v>8.3333333333333329E-2</v>
      </c>
      <c r="AE8" s="24">
        <v>4.1666666666666664E-2</v>
      </c>
      <c r="AF8" s="24">
        <v>4.1666666666666664E-2</v>
      </c>
      <c r="AG8" s="23"/>
    </row>
    <row r="9" spans="1:33" ht="13" x14ac:dyDescent="0.25">
      <c r="A9" s="20" t="s">
        <v>1</v>
      </c>
      <c r="B9" s="22">
        <f>AVERAGE(Form_Responses1[Precio])</f>
        <v>3.2083333333333335</v>
      </c>
      <c r="C9" s="23"/>
      <c r="D9" s="24">
        <v>8</v>
      </c>
      <c r="E9" s="24">
        <f>COUNTIF(Form_Responses1[Edad],D9)</f>
        <v>1</v>
      </c>
      <c r="F9" s="24">
        <f>COUNTIF(Form_Responses1[Precio],D9)</f>
        <v>2</v>
      </c>
      <c r="G9" s="24">
        <f>COUNTIF(Form_Responses1[Marca y modelo],D9)</f>
        <v>0</v>
      </c>
      <c r="H9" s="24">
        <f>COUNTIF(Form_Responses1[[Tipo y consumo de combustible ]],D9)</f>
        <v>1</v>
      </c>
      <c r="I9" s="24">
        <f>COUNTIF(Form_Responses1[[Color ]],D9)</f>
        <v>7</v>
      </c>
      <c r="J9" s="24">
        <f>COUNTIF(Form_Responses1[Equipamiento],D9)</f>
        <v>7</v>
      </c>
      <c r="K9" s="24">
        <f>COUNTIF(Form_Responses1[Tecnología],D9)</f>
        <v>0</v>
      </c>
      <c r="L9" s="24">
        <f>COUNTIF(Form_Responses1[Kilometraje],D9)</f>
        <v>6</v>
      </c>
      <c r="M9" s="23"/>
      <c r="N9" s="24">
        <v>8</v>
      </c>
      <c r="O9" s="24">
        <f t="shared" si="0"/>
        <v>4.1666666666666664E-2</v>
      </c>
      <c r="P9" s="24">
        <f t="shared" si="0"/>
        <v>8.3333333333333329E-2</v>
      </c>
      <c r="Q9" s="24">
        <f t="shared" si="0"/>
        <v>0</v>
      </c>
      <c r="R9" s="24">
        <f t="shared" si="0"/>
        <v>4.1666666666666664E-2</v>
      </c>
      <c r="S9" s="24">
        <f t="shared" si="0"/>
        <v>0.29166666666666669</v>
      </c>
      <c r="T9" s="24">
        <f t="shared" si="0"/>
        <v>0.29166666666666669</v>
      </c>
      <c r="U9" s="24">
        <f t="shared" si="0"/>
        <v>0</v>
      </c>
      <c r="V9" s="24">
        <f t="shared" si="0"/>
        <v>0.25</v>
      </c>
      <c r="W9" s="23"/>
      <c r="X9" s="24">
        <v>1</v>
      </c>
      <c r="Y9" s="24">
        <v>0.29166666666666669</v>
      </c>
      <c r="Z9" s="24">
        <v>8.3333333333333329E-2</v>
      </c>
      <c r="AA9" s="24">
        <v>0.16666666666666666</v>
      </c>
      <c r="AB9" s="24">
        <v>0.125</v>
      </c>
      <c r="AC9" s="24">
        <v>0</v>
      </c>
      <c r="AD9" s="24">
        <v>0.20833333333333334</v>
      </c>
      <c r="AE9" s="24">
        <v>0.125</v>
      </c>
      <c r="AF9" s="24">
        <v>0</v>
      </c>
      <c r="AG9" s="23"/>
    </row>
  </sheetData>
  <autoFilter ref="X1:AG1" xr:uid="{F2299946-F92B-485F-B26D-EA1466A5B2F7}">
    <sortState xmlns:xlrd2="http://schemas.microsoft.com/office/spreadsheetml/2017/richdata2" ref="X2:AG9">
      <sortCondition descending="1" ref="X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showGridLines="0" tabSelected="1" zoomScale="115" zoomScaleNormal="115" workbookViewId="0">
      <pane ySplit="1" topLeftCell="A2" activePane="bottomLeft" state="frozen"/>
      <selection pane="bottomLeft" activeCell="C5" sqref="C5"/>
    </sheetView>
  </sheetViews>
  <sheetFormatPr defaultColWidth="12.6328125" defaultRowHeight="15.75" customHeight="1" x14ac:dyDescent="0.25"/>
  <cols>
    <col min="1" max="1" width="18.90625" customWidth="1"/>
    <col min="2" max="8" width="37.6328125" customWidth="1"/>
    <col min="9" max="15" width="18.90625" customWidth="1"/>
  </cols>
  <sheetData>
    <row r="1" spans="1:9" ht="15.75" customHeight="1" x14ac:dyDescent="0.25">
      <c r="A1" s="1" t="s">
        <v>32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ht="15.75" customHeight="1" x14ac:dyDescent="0.25">
      <c r="A2" s="25"/>
      <c r="B2" s="3">
        <v>1</v>
      </c>
      <c r="C2" s="3">
        <v>2</v>
      </c>
      <c r="D2" s="3">
        <v>3</v>
      </c>
      <c r="E2" s="3">
        <v>4</v>
      </c>
      <c r="F2" s="3">
        <v>7</v>
      </c>
      <c r="G2" s="3">
        <v>8</v>
      </c>
      <c r="H2" s="3">
        <v>5</v>
      </c>
      <c r="I2" s="3">
        <v>6</v>
      </c>
    </row>
    <row r="3" spans="1:9" ht="15.75" customHeight="1" x14ac:dyDescent="0.25">
      <c r="A3" s="4"/>
      <c r="B3" s="5">
        <v>7</v>
      </c>
      <c r="C3" s="5">
        <v>4</v>
      </c>
      <c r="D3" s="5">
        <v>1</v>
      </c>
      <c r="E3" s="5">
        <v>5</v>
      </c>
      <c r="F3" s="5">
        <v>2</v>
      </c>
      <c r="G3" s="5">
        <v>8</v>
      </c>
      <c r="H3" s="5">
        <v>6</v>
      </c>
      <c r="I3" s="5">
        <v>3</v>
      </c>
    </row>
    <row r="4" spans="1:9" ht="15.75" customHeight="1" x14ac:dyDescent="0.25">
      <c r="A4" s="2"/>
      <c r="B4" s="3">
        <v>7</v>
      </c>
      <c r="C4" s="3">
        <v>6</v>
      </c>
      <c r="D4" s="3">
        <v>5</v>
      </c>
      <c r="E4" s="3">
        <v>2</v>
      </c>
      <c r="F4" s="3">
        <v>1</v>
      </c>
      <c r="G4" s="3">
        <v>3</v>
      </c>
      <c r="H4" s="3">
        <v>4</v>
      </c>
      <c r="I4" s="3">
        <v>8</v>
      </c>
    </row>
    <row r="5" spans="1:9" ht="15.75" customHeight="1" x14ac:dyDescent="0.25">
      <c r="A5" s="4"/>
      <c r="B5" s="5">
        <v>7</v>
      </c>
      <c r="C5" s="5">
        <v>6</v>
      </c>
      <c r="D5" s="5">
        <v>2</v>
      </c>
      <c r="E5" s="5">
        <v>1</v>
      </c>
      <c r="F5" s="5">
        <v>4</v>
      </c>
      <c r="G5" s="5">
        <v>5</v>
      </c>
      <c r="H5" s="5">
        <v>3</v>
      </c>
      <c r="I5" s="5">
        <v>8</v>
      </c>
    </row>
    <row r="6" spans="1:9" ht="15.75" customHeight="1" x14ac:dyDescent="0.25">
      <c r="A6" s="2"/>
      <c r="B6" s="3">
        <v>4</v>
      </c>
      <c r="C6" s="3">
        <v>1</v>
      </c>
      <c r="D6" s="3">
        <v>2</v>
      </c>
      <c r="E6" s="3">
        <v>3</v>
      </c>
      <c r="F6" s="3">
        <v>8</v>
      </c>
      <c r="G6" s="3">
        <v>7</v>
      </c>
      <c r="H6" s="3">
        <v>5</v>
      </c>
      <c r="I6" s="3">
        <v>6</v>
      </c>
    </row>
    <row r="7" spans="1:9" ht="15.75" customHeight="1" x14ac:dyDescent="0.25">
      <c r="A7" s="4"/>
      <c r="B7" s="5">
        <v>7</v>
      </c>
      <c r="C7" s="5">
        <v>1</v>
      </c>
      <c r="D7" s="5">
        <v>6</v>
      </c>
      <c r="E7" s="5">
        <v>3</v>
      </c>
      <c r="F7" s="5">
        <v>2</v>
      </c>
      <c r="G7" s="5">
        <v>5</v>
      </c>
      <c r="H7" s="5">
        <v>4</v>
      </c>
      <c r="I7" s="5">
        <v>8</v>
      </c>
    </row>
    <row r="8" spans="1:9" ht="15.75" customHeight="1" x14ac:dyDescent="0.25">
      <c r="A8" s="2"/>
      <c r="B8" s="3">
        <v>2</v>
      </c>
      <c r="C8" s="3">
        <v>1</v>
      </c>
      <c r="D8" s="3">
        <v>5</v>
      </c>
      <c r="E8" s="3">
        <v>3</v>
      </c>
      <c r="F8" s="3">
        <v>7</v>
      </c>
      <c r="G8" s="3">
        <v>6</v>
      </c>
      <c r="H8" s="3">
        <v>4</v>
      </c>
      <c r="I8" s="3">
        <v>8</v>
      </c>
    </row>
    <row r="9" spans="1:9" ht="15.75" customHeight="1" x14ac:dyDescent="0.25">
      <c r="A9" s="4"/>
      <c r="B9" s="5">
        <v>3</v>
      </c>
      <c r="C9" s="5">
        <v>2</v>
      </c>
      <c r="D9" s="5">
        <v>5</v>
      </c>
      <c r="E9" s="5">
        <v>1</v>
      </c>
      <c r="F9" s="5">
        <v>7</v>
      </c>
      <c r="G9" s="5">
        <v>8</v>
      </c>
      <c r="H9" s="5">
        <v>6</v>
      </c>
      <c r="I9" s="5">
        <v>4</v>
      </c>
    </row>
    <row r="10" spans="1:9" ht="15.75" customHeight="1" x14ac:dyDescent="0.25">
      <c r="A10" s="2"/>
      <c r="B10" s="3">
        <v>2</v>
      </c>
      <c r="C10" s="3">
        <v>3</v>
      </c>
      <c r="D10" s="3">
        <v>4</v>
      </c>
      <c r="E10" s="3">
        <v>5</v>
      </c>
      <c r="F10" s="3">
        <v>1</v>
      </c>
      <c r="G10" s="3">
        <v>6</v>
      </c>
      <c r="H10" s="3">
        <v>7</v>
      </c>
      <c r="I10" s="3">
        <v>8</v>
      </c>
    </row>
    <row r="11" spans="1:9" ht="15.75" customHeight="1" x14ac:dyDescent="0.25">
      <c r="A11" s="4"/>
      <c r="B11" s="5">
        <v>4</v>
      </c>
      <c r="C11" s="5">
        <v>3</v>
      </c>
      <c r="D11" s="5">
        <v>2</v>
      </c>
      <c r="E11" s="5">
        <v>5</v>
      </c>
      <c r="F11" s="5">
        <v>6</v>
      </c>
      <c r="G11" s="5">
        <v>8</v>
      </c>
      <c r="H11" s="5">
        <v>7</v>
      </c>
      <c r="I11" s="5">
        <v>1</v>
      </c>
    </row>
    <row r="12" spans="1:9" ht="15.75" customHeight="1" x14ac:dyDescent="0.25">
      <c r="A12" s="2"/>
      <c r="B12" s="3">
        <v>7</v>
      </c>
      <c r="C12" s="3">
        <v>8</v>
      </c>
      <c r="D12" s="3">
        <v>4</v>
      </c>
      <c r="E12" s="3">
        <v>5</v>
      </c>
      <c r="F12" s="3">
        <v>1</v>
      </c>
      <c r="G12" s="3">
        <v>2</v>
      </c>
      <c r="H12" s="3">
        <v>3</v>
      </c>
      <c r="I12" s="3">
        <v>6</v>
      </c>
    </row>
    <row r="13" spans="1:9" ht="15.75" customHeight="1" x14ac:dyDescent="0.25">
      <c r="A13" s="4"/>
      <c r="B13" s="5">
        <v>6</v>
      </c>
      <c r="C13" s="5">
        <v>7</v>
      </c>
      <c r="D13" s="5">
        <v>4</v>
      </c>
      <c r="E13" s="5">
        <v>3</v>
      </c>
      <c r="F13" s="5">
        <v>1</v>
      </c>
      <c r="G13" s="5">
        <v>5</v>
      </c>
      <c r="H13" s="5">
        <v>2</v>
      </c>
      <c r="I13" s="5">
        <v>8</v>
      </c>
    </row>
    <row r="14" spans="1:9" ht="15.75" customHeight="1" x14ac:dyDescent="0.25">
      <c r="A14" s="2"/>
      <c r="B14" s="3">
        <v>4</v>
      </c>
      <c r="C14" s="3">
        <v>1</v>
      </c>
      <c r="D14" s="3">
        <v>2</v>
      </c>
      <c r="E14" s="3">
        <v>3</v>
      </c>
      <c r="F14" s="3">
        <v>8</v>
      </c>
      <c r="G14" s="3">
        <v>7</v>
      </c>
      <c r="H14" s="3">
        <v>6</v>
      </c>
      <c r="I14" s="3">
        <v>5</v>
      </c>
    </row>
    <row r="15" spans="1:9" ht="15.75" customHeight="1" x14ac:dyDescent="0.25">
      <c r="A15" s="4"/>
      <c r="B15" s="5">
        <v>3</v>
      </c>
      <c r="C15" s="5">
        <v>2</v>
      </c>
      <c r="D15" s="5">
        <v>1</v>
      </c>
      <c r="E15" s="5">
        <v>4</v>
      </c>
      <c r="F15" s="5">
        <v>7</v>
      </c>
      <c r="G15" s="5">
        <v>8</v>
      </c>
      <c r="H15" s="5">
        <v>6</v>
      </c>
      <c r="I15" s="5">
        <v>5</v>
      </c>
    </row>
    <row r="16" spans="1:9" ht="15.75" customHeight="1" x14ac:dyDescent="0.25">
      <c r="A16" s="2"/>
      <c r="B16" s="3">
        <v>2</v>
      </c>
      <c r="C16" s="3">
        <v>1</v>
      </c>
      <c r="D16" s="3">
        <v>3</v>
      </c>
      <c r="E16" s="3">
        <v>4</v>
      </c>
      <c r="F16" s="3">
        <v>8</v>
      </c>
      <c r="G16" s="3">
        <v>6</v>
      </c>
      <c r="H16" s="3">
        <v>5</v>
      </c>
      <c r="I16" s="3">
        <v>7</v>
      </c>
    </row>
    <row r="17" spans="1:9" ht="15.75" customHeight="1" x14ac:dyDescent="0.25">
      <c r="A17" s="4"/>
      <c r="B17" s="5">
        <v>4</v>
      </c>
      <c r="C17" s="5">
        <v>3</v>
      </c>
      <c r="D17" s="5">
        <v>2</v>
      </c>
      <c r="E17" s="5">
        <v>1</v>
      </c>
      <c r="F17" s="5">
        <v>8</v>
      </c>
      <c r="G17" s="5">
        <v>6</v>
      </c>
      <c r="H17" s="5">
        <v>5</v>
      </c>
      <c r="I17" s="5">
        <v>7</v>
      </c>
    </row>
    <row r="18" spans="1:9" ht="15.75" customHeight="1" x14ac:dyDescent="0.25">
      <c r="A18" s="2"/>
      <c r="B18" s="3">
        <v>4</v>
      </c>
      <c r="C18" s="3">
        <v>2</v>
      </c>
      <c r="D18" s="3">
        <v>3</v>
      </c>
      <c r="E18" s="3">
        <v>5</v>
      </c>
      <c r="F18" s="3">
        <v>8</v>
      </c>
      <c r="G18" s="3">
        <v>6</v>
      </c>
      <c r="H18" s="3">
        <v>7</v>
      </c>
      <c r="I18" s="3">
        <v>1</v>
      </c>
    </row>
    <row r="19" spans="1:9" ht="15.75" customHeight="1" x14ac:dyDescent="0.25">
      <c r="A19" s="4"/>
      <c r="B19" s="5">
        <v>1</v>
      </c>
      <c r="C19" s="5">
        <v>2</v>
      </c>
      <c r="D19" s="5">
        <v>3</v>
      </c>
      <c r="E19" s="5">
        <v>4</v>
      </c>
      <c r="F19" s="5">
        <v>8</v>
      </c>
      <c r="G19" s="5">
        <v>7</v>
      </c>
      <c r="H19" s="5">
        <v>6</v>
      </c>
      <c r="I19" s="5">
        <v>5</v>
      </c>
    </row>
    <row r="20" spans="1:9" ht="15.75" customHeight="1" x14ac:dyDescent="0.25">
      <c r="A20" s="2"/>
      <c r="B20" s="3">
        <v>4</v>
      </c>
      <c r="C20" s="3">
        <v>3</v>
      </c>
      <c r="D20" s="3">
        <v>2</v>
      </c>
      <c r="E20" s="3">
        <v>1</v>
      </c>
      <c r="F20" s="3">
        <v>7</v>
      </c>
      <c r="G20" s="3">
        <v>8</v>
      </c>
      <c r="H20" s="3">
        <v>5</v>
      </c>
      <c r="I20" s="3">
        <v>6</v>
      </c>
    </row>
    <row r="21" spans="1:9" ht="15.75" customHeight="1" x14ac:dyDescent="0.25">
      <c r="A21" s="4"/>
      <c r="B21" s="5">
        <v>5</v>
      </c>
      <c r="C21" s="5">
        <v>4</v>
      </c>
      <c r="D21" s="5">
        <v>3</v>
      </c>
      <c r="E21" s="5">
        <v>6</v>
      </c>
      <c r="F21" s="5">
        <v>7</v>
      </c>
      <c r="G21" s="5">
        <v>8</v>
      </c>
      <c r="H21" s="5">
        <v>2</v>
      </c>
      <c r="I21" s="5">
        <v>1</v>
      </c>
    </row>
    <row r="22" spans="1:9" ht="12.5" x14ac:dyDescent="0.25">
      <c r="A22" s="2"/>
      <c r="B22" s="3">
        <v>2</v>
      </c>
      <c r="C22" s="3">
        <v>1</v>
      </c>
      <c r="D22" s="3">
        <v>3</v>
      </c>
      <c r="E22" s="3">
        <v>6</v>
      </c>
      <c r="F22" s="3">
        <v>8</v>
      </c>
      <c r="G22" s="3">
        <v>7</v>
      </c>
      <c r="H22" s="3">
        <v>5</v>
      </c>
      <c r="I22" s="3">
        <v>4</v>
      </c>
    </row>
    <row r="23" spans="1:9" ht="12.5" x14ac:dyDescent="0.25">
      <c r="A23" s="4"/>
      <c r="B23" s="5">
        <v>2</v>
      </c>
      <c r="C23" s="5">
        <v>5</v>
      </c>
      <c r="D23" s="5">
        <v>3</v>
      </c>
      <c r="E23" s="5">
        <v>8</v>
      </c>
      <c r="F23" s="5">
        <v>1</v>
      </c>
      <c r="G23" s="5">
        <v>6</v>
      </c>
      <c r="H23" s="5">
        <v>4</v>
      </c>
      <c r="I23" s="5">
        <v>7</v>
      </c>
    </row>
    <row r="24" spans="1:9" ht="12.5" x14ac:dyDescent="0.25">
      <c r="A24" s="2"/>
      <c r="B24" s="3">
        <v>8</v>
      </c>
      <c r="C24" s="3">
        <v>1</v>
      </c>
      <c r="D24" s="3">
        <v>4</v>
      </c>
      <c r="E24" s="3">
        <v>2</v>
      </c>
      <c r="F24" s="3">
        <v>5</v>
      </c>
      <c r="G24" s="3">
        <v>6</v>
      </c>
      <c r="H24" s="3">
        <v>3</v>
      </c>
      <c r="I24" s="3">
        <v>7</v>
      </c>
    </row>
    <row r="25" spans="1:9" ht="12.5" x14ac:dyDescent="0.25">
      <c r="A25" s="6"/>
      <c r="B25" s="7">
        <v>1</v>
      </c>
      <c r="C25" s="7">
        <v>8</v>
      </c>
      <c r="D25" s="7">
        <v>7</v>
      </c>
      <c r="E25" s="7">
        <v>6</v>
      </c>
      <c r="F25" s="7">
        <v>5</v>
      </c>
      <c r="G25" s="7">
        <v>4</v>
      </c>
      <c r="H25" s="7">
        <v>3</v>
      </c>
      <c r="I25" s="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Corr_Variables</vt:lpstr>
      <vt:lpstr>Corr_Price_USD</vt:lpstr>
      <vt:lpstr>Análisis_Respuestas</vt:lpstr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Bravo Dalmau</dc:creator>
  <cp:lastModifiedBy>Lucia Bravo Dalmau</cp:lastModifiedBy>
  <dcterms:created xsi:type="dcterms:W3CDTF">2025-05-08T06:22:03Z</dcterms:created>
  <dcterms:modified xsi:type="dcterms:W3CDTF">2025-05-12T07:26:14Z</dcterms:modified>
</cp:coreProperties>
</file>