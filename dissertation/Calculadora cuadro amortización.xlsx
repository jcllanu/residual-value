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msmanagementsolutions-my.sharepoint.com/personal/juan_carlos_llamas_1_managementsolutions_com/Documents/Microsoft Teams Chat Files/"/>
    </mc:Choice>
  </mc:AlternateContent>
  <xr:revisionPtr revIDLastSave="194" documentId="13_ncr:1_{7CC694F6-DB55-4A43-8FA9-114C3B8F40E1}" xr6:coauthVersionLast="47" xr6:coauthVersionMax="47" xr10:uidLastSave="{A8CFBCA7-0E9E-48C8-8710-E013BDA92282}"/>
  <bookViews>
    <workbookView xWindow="-110" yWindow="-110" windowWidth="19420" windowHeight="11620" xr2:uid="{00000000-000D-0000-FFFF-FFFF00000000}"/>
  </bookViews>
  <sheets>
    <sheet name="Calculadora cuota de arrendami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I21" i="1" s="1"/>
  <c r="I16" i="1" l="1"/>
  <c r="I19" i="1"/>
  <c r="I15" i="1"/>
  <c r="I56" i="1"/>
  <c r="I44" i="1"/>
  <c r="I32" i="1"/>
  <c r="I20" i="1"/>
  <c r="I8" i="1"/>
  <c r="E17" i="1" s="1"/>
  <c r="E18" i="1" s="1"/>
  <c r="I7" i="1"/>
  <c r="I55" i="1"/>
  <c r="I43" i="1"/>
  <c r="I31" i="1"/>
  <c r="I66" i="1"/>
  <c r="I54" i="1"/>
  <c r="I42" i="1"/>
  <c r="I30" i="1"/>
  <c r="I18" i="1"/>
  <c r="I17" i="1"/>
  <c r="I14" i="1"/>
  <c r="I13" i="1"/>
  <c r="I12" i="1"/>
  <c r="I11" i="1"/>
  <c r="I10" i="1"/>
  <c r="I9" i="1"/>
  <c r="I65" i="1"/>
  <c r="I53" i="1"/>
  <c r="I41" i="1"/>
  <c r="I29" i="1"/>
  <c r="I64" i="1"/>
  <c r="I52" i="1"/>
  <c r="I40" i="1"/>
  <c r="I28" i="1"/>
  <c r="I63" i="1"/>
  <c r="I51" i="1"/>
  <c r="I39" i="1"/>
  <c r="I27" i="1"/>
  <c r="I62" i="1"/>
  <c r="I50" i="1"/>
  <c r="I38" i="1"/>
  <c r="I26" i="1"/>
  <c r="I61" i="1"/>
  <c r="I49" i="1"/>
  <c r="I37" i="1"/>
  <c r="I25" i="1"/>
  <c r="I60" i="1"/>
  <c r="I48" i="1"/>
  <c r="I36" i="1"/>
  <c r="I24" i="1"/>
  <c r="I59" i="1"/>
  <c r="I47" i="1"/>
  <c r="I35" i="1"/>
  <c r="I23" i="1"/>
  <c r="I58" i="1"/>
  <c r="I46" i="1"/>
  <c r="I34" i="1"/>
  <c r="I22" i="1"/>
  <c r="I57" i="1"/>
  <c r="I45" i="1"/>
  <c r="I33" i="1"/>
  <c r="O6" i="1"/>
  <c r="H6" i="1"/>
  <c r="O10" i="1"/>
  <c r="O8" i="1"/>
  <c r="R6" i="1"/>
  <c r="E11" i="1"/>
  <c r="E9" i="1"/>
  <c r="K7" i="1" l="1"/>
  <c r="U7" i="1"/>
  <c r="O11" i="1"/>
  <c r="S13" i="1" l="1"/>
  <c r="S25" i="1"/>
  <c r="S37" i="1"/>
  <c r="S49" i="1"/>
  <c r="S61" i="1"/>
  <c r="S73" i="1"/>
  <c r="S85" i="1"/>
  <c r="S97" i="1"/>
  <c r="S109" i="1"/>
  <c r="S121" i="1"/>
  <c r="S14" i="1"/>
  <c r="S26" i="1"/>
  <c r="S38" i="1"/>
  <c r="S50" i="1"/>
  <c r="S62" i="1"/>
  <c r="S74" i="1"/>
  <c r="S86" i="1"/>
  <c r="S98" i="1"/>
  <c r="S110" i="1"/>
  <c r="S122" i="1"/>
  <c r="S15" i="1"/>
  <c r="S27" i="1"/>
  <c r="S39" i="1"/>
  <c r="S51" i="1"/>
  <c r="S63" i="1"/>
  <c r="S75" i="1"/>
  <c r="S87" i="1"/>
  <c r="S99" i="1"/>
  <c r="S111" i="1"/>
  <c r="S123" i="1"/>
  <c r="S16" i="1"/>
  <c r="S28" i="1"/>
  <c r="S40" i="1"/>
  <c r="S52" i="1"/>
  <c r="S64" i="1"/>
  <c r="S76" i="1"/>
  <c r="S88" i="1"/>
  <c r="S100" i="1"/>
  <c r="S112" i="1"/>
  <c r="S124" i="1"/>
  <c r="S17" i="1"/>
  <c r="S29" i="1"/>
  <c r="S41" i="1"/>
  <c r="S53" i="1"/>
  <c r="S65" i="1"/>
  <c r="S77" i="1"/>
  <c r="S89" i="1"/>
  <c r="S101" i="1"/>
  <c r="S113" i="1"/>
  <c r="S125" i="1"/>
  <c r="S18" i="1"/>
  <c r="S30" i="1"/>
  <c r="S42" i="1"/>
  <c r="S54" i="1"/>
  <c r="S66" i="1"/>
  <c r="S78" i="1"/>
  <c r="S90" i="1"/>
  <c r="S102" i="1"/>
  <c r="S114" i="1"/>
  <c r="S126" i="1"/>
  <c r="S19" i="1"/>
  <c r="S31" i="1"/>
  <c r="S43" i="1"/>
  <c r="S55" i="1"/>
  <c r="S67" i="1"/>
  <c r="S79" i="1"/>
  <c r="S91" i="1"/>
  <c r="S103" i="1"/>
  <c r="S115" i="1"/>
  <c r="S8" i="1"/>
  <c r="S20" i="1"/>
  <c r="S32" i="1"/>
  <c r="S44" i="1"/>
  <c r="S56" i="1"/>
  <c r="S68" i="1"/>
  <c r="S80" i="1"/>
  <c r="S92" i="1"/>
  <c r="S104" i="1"/>
  <c r="S116" i="1"/>
  <c r="S7" i="1"/>
  <c r="T7" i="1" s="1"/>
  <c r="R7" i="1" s="1"/>
  <c r="U8" i="1" s="1"/>
  <c r="S9" i="1"/>
  <c r="S21" i="1"/>
  <c r="S12" i="1"/>
  <c r="S57" i="1"/>
  <c r="S93" i="1"/>
  <c r="S22" i="1"/>
  <c r="S58" i="1"/>
  <c r="S94" i="1"/>
  <c r="S23" i="1"/>
  <c r="S59" i="1"/>
  <c r="S95" i="1"/>
  <c r="S24" i="1"/>
  <c r="S60" i="1"/>
  <c r="S96" i="1"/>
  <c r="S48" i="1"/>
  <c r="S33" i="1"/>
  <c r="S69" i="1"/>
  <c r="S105" i="1"/>
  <c r="S82" i="1"/>
  <c r="S10" i="1"/>
  <c r="S84" i="1"/>
  <c r="S120" i="1"/>
  <c r="S34" i="1"/>
  <c r="S70" i="1"/>
  <c r="S106" i="1"/>
  <c r="S35" i="1"/>
  <c r="S71" i="1"/>
  <c r="S107" i="1"/>
  <c r="S36" i="1"/>
  <c r="S72" i="1"/>
  <c r="S108" i="1"/>
  <c r="S45" i="1"/>
  <c r="S81" i="1"/>
  <c r="S117" i="1"/>
  <c r="S46" i="1"/>
  <c r="S118" i="1"/>
  <c r="S47" i="1"/>
  <c r="S83" i="1"/>
  <c r="S119" i="1"/>
  <c r="S11" i="1"/>
  <c r="J7" i="1" l="1"/>
  <c r="H7" i="1" s="1"/>
  <c r="K8" i="1" s="1"/>
  <c r="J8" i="1" s="1"/>
  <c r="H8" i="1" s="1"/>
  <c r="K9" i="1" s="1"/>
  <c r="J9" i="1" s="1"/>
  <c r="H9" i="1" s="1"/>
  <c r="K10" i="1" s="1"/>
  <c r="J10" i="1" s="1"/>
  <c r="H10" i="1" s="1"/>
  <c r="T8" i="1"/>
  <c r="R8" i="1" s="1"/>
  <c r="U9" i="1" s="1"/>
  <c r="T9" i="1" s="1"/>
  <c r="R9" i="1" s="1"/>
  <c r="U10" i="1" s="1"/>
  <c r="T10" i="1" s="1"/>
  <c r="R10" i="1" s="1"/>
  <c r="U11" i="1" s="1"/>
  <c r="T11" i="1" s="1"/>
  <c r="R11" i="1" s="1"/>
  <c r="U12" i="1" s="1"/>
  <c r="K11" i="1" l="1"/>
  <c r="J11" i="1" s="1"/>
  <c r="H11" i="1" s="1"/>
  <c r="T12" i="1"/>
  <c r="R12" i="1" s="1"/>
  <c r="U13" i="1" s="1"/>
  <c r="K12" i="1" l="1"/>
  <c r="J12" i="1" s="1"/>
  <c r="H12" i="1" s="1"/>
  <c r="T13" i="1"/>
  <c r="R13" i="1" s="1"/>
  <c r="U14" i="1" s="1"/>
  <c r="K13" i="1" l="1"/>
  <c r="J13" i="1" s="1"/>
  <c r="H13" i="1" s="1"/>
  <c r="T14" i="1"/>
  <c r="R14" i="1" s="1"/>
  <c r="U15" i="1" s="1"/>
  <c r="K14" i="1" l="1"/>
  <c r="J14" i="1" s="1"/>
  <c r="H14" i="1" s="1"/>
  <c r="T15" i="1"/>
  <c r="R15" i="1" s="1"/>
  <c r="U16" i="1" s="1"/>
  <c r="K15" i="1" l="1"/>
  <c r="J15" i="1" s="1"/>
  <c r="H15" i="1" s="1"/>
  <c r="K16" i="1" s="1"/>
  <c r="J16" i="1" s="1"/>
  <c r="H16" i="1" s="1"/>
  <c r="T16" i="1"/>
  <c r="R16" i="1" s="1"/>
  <c r="U17" i="1" s="1"/>
  <c r="K17" i="1" l="1"/>
  <c r="J17" i="1" s="1"/>
  <c r="H17" i="1" s="1"/>
  <c r="T17" i="1"/>
  <c r="R17" i="1" s="1"/>
  <c r="U18" i="1" s="1"/>
  <c r="K18" i="1" l="1"/>
  <c r="J18" i="1" s="1"/>
  <c r="H18" i="1" s="1"/>
  <c r="T18" i="1"/>
  <c r="R18" i="1" s="1"/>
  <c r="U19" i="1" s="1"/>
  <c r="K19" i="1" l="1"/>
  <c r="J19" i="1" s="1"/>
  <c r="H19" i="1" s="1"/>
  <c r="K20" i="1" s="1"/>
  <c r="J20" i="1" s="1"/>
  <c r="T19" i="1"/>
  <c r="R19" i="1" s="1"/>
  <c r="U20" i="1" s="1"/>
  <c r="H20" i="1" l="1"/>
  <c r="K21" i="1" s="1"/>
  <c r="J21" i="1" s="1"/>
  <c r="H21" i="1" s="1"/>
  <c r="T20" i="1"/>
  <c r="R20" i="1" s="1"/>
  <c r="U21" i="1" s="1"/>
  <c r="K22" i="1" l="1"/>
  <c r="J22" i="1" s="1"/>
  <c r="H22" i="1" s="1"/>
  <c r="T21" i="1"/>
  <c r="R21" i="1" s="1"/>
  <c r="U22" i="1" s="1"/>
  <c r="K23" i="1" l="1"/>
  <c r="J23" i="1" s="1"/>
  <c r="H23" i="1" s="1"/>
  <c r="T22" i="1"/>
  <c r="R22" i="1" s="1"/>
  <c r="U23" i="1" s="1"/>
  <c r="K24" i="1" l="1"/>
  <c r="J24" i="1" s="1"/>
  <c r="H24" i="1" s="1"/>
  <c r="T23" i="1"/>
  <c r="R23" i="1" s="1"/>
  <c r="U24" i="1" s="1"/>
  <c r="K25" i="1" l="1"/>
  <c r="J25" i="1" s="1"/>
  <c r="H25" i="1" s="1"/>
  <c r="T24" i="1"/>
  <c r="R24" i="1" s="1"/>
  <c r="U25" i="1" s="1"/>
  <c r="K26" i="1" l="1"/>
  <c r="J26" i="1" s="1"/>
  <c r="H26" i="1" s="1"/>
  <c r="T25" i="1"/>
  <c r="R25" i="1" s="1"/>
  <c r="U26" i="1" s="1"/>
  <c r="K27" i="1" l="1"/>
  <c r="J27" i="1" s="1"/>
  <c r="H27" i="1" s="1"/>
  <c r="T26" i="1"/>
  <c r="R26" i="1" s="1"/>
  <c r="U27" i="1" s="1"/>
  <c r="K28" i="1" l="1"/>
  <c r="J28" i="1" s="1"/>
  <c r="H28" i="1" s="1"/>
  <c r="T27" i="1"/>
  <c r="R27" i="1" s="1"/>
  <c r="U28" i="1" s="1"/>
  <c r="K29" i="1" l="1"/>
  <c r="J29" i="1" s="1"/>
  <c r="H29" i="1" s="1"/>
  <c r="T28" i="1"/>
  <c r="R28" i="1" s="1"/>
  <c r="U29" i="1" s="1"/>
  <c r="K30" i="1" l="1"/>
  <c r="J30" i="1" s="1"/>
  <c r="H30" i="1" s="1"/>
  <c r="T29" i="1"/>
  <c r="R29" i="1" s="1"/>
  <c r="U30" i="1" s="1"/>
  <c r="K31" i="1" l="1"/>
  <c r="J31" i="1" s="1"/>
  <c r="H31" i="1" s="1"/>
  <c r="T30" i="1"/>
  <c r="R30" i="1" s="1"/>
  <c r="U31" i="1" s="1"/>
  <c r="K32" i="1" l="1"/>
  <c r="J32" i="1" s="1"/>
  <c r="H32" i="1" s="1"/>
  <c r="T31" i="1"/>
  <c r="R31" i="1" s="1"/>
  <c r="U32" i="1" s="1"/>
  <c r="K33" i="1" l="1"/>
  <c r="J33" i="1" s="1"/>
  <c r="H33" i="1" s="1"/>
  <c r="T32" i="1"/>
  <c r="R32" i="1" s="1"/>
  <c r="U33" i="1" s="1"/>
  <c r="K34" i="1" l="1"/>
  <c r="J34" i="1" s="1"/>
  <c r="H34" i="1" s="1"/>
  <c r="T33" i="1"/>
  <c r="R33" i="1" s="1"/>
  <c r="U34" i="1" s="1"/>
  <c r="K35" i="1" l="1"/>
  <c r="J35" i="1" s="1"/>
  <c r="H35" i="1" s="1"/>
  <c r="T34" i="1"/>
  <c r="R34" i="1" s="1"/>
  <c r="U35" i="1" s="1"/>
  <c r="K36" i="1" l="1"/>
  <c r="J36" i="1" s="1"/>
  <c r="H36" i="1" s="1"/>
  <c r="T35" i="1"/>
  <c r="R35" i="1" s="1"/>
  <c r="U36" i="1" s="1"/>
  <c r="K37" i="1" l="1"/>
  <c r="J37" i="1" s="1"/>
  <c r="H37" i="1" s="1"/>
  <c r="T36" i="1"/>
  <c r="R36" i="1" s="1"/>
  <c r="U37" i="1" s="1"/>
  <c r="K38" i="1" l="1"/>
  <c r="J38" i="1" s="1"/>
  <c r="H38" i="1" s="1"/>
  <c r="T37" i="1"/>
  <c r="R37" i="1" s="1"/>
  <c r="U38" i="1" s="1"/>
  <c r="K39" i="1" l="1"/>
  <c r="J39" i="1" s="1"/>
  <c r="H39" i="1" s="1"/>
  <c r="T38" i="1"/>
  <c r="R38" i="1" s="1"/>
  <c r="U39" i="1" s="1"/>
  <c r="K40" i="1" l="1"/>
  <c r="J40" i="1" s="1"/>
  <c r="H40" i="1" s="1"/>
  <c r="T39" i="1"/>
  <c r="R39" i="1" s="1"/>
  <c r="U40" i="1" s="1"/>
  <c r="K41" i="1" l="1"/>
  <c r="J41" i="1" s="1"/>
  <c r="H41" i="1" s="1"/>
  <c r="T40" i="1"/>
  <c r="R40" i="1" s="1"/>
  <c r="U41" i="1" s="1"/>
  <c r="K42" i="1" l="1"/>
  <c r="J42" i="1" s="1"/>
  <c r="H42" i="1" s="1"/>
  <c r="T41" i="1"/>
  <c r="R41" i="1" s="1"/>
  <c r="U42" i="1" s="1"/>
  <c r="K43" i="1" l="1"/>
  <c r="J43" i="1" s="1"/>
  <c r="H43" i="1" s="1"/>
  <c r="T42" i="1"/>
  <c r="R42" i="1" s="1"/>
  <c r="U43" i="1" s="1"/>
  <c r="K44" i="1" l="1"/>
  <c r="J44" i="1" s="1"/>
  <c r="H44" i="1" s="1"/>
  <c r="T43" i="1"/>
  <c r="R43" i="1" s="1"/>
  <c r="U44" i="1" s="1"/>
  <c r="K45" i="1" l="1"/>
  <c r="J45" i="1" s="1"/>
  <c r="H45" i="1" s="1"/>
  <c r="T44" i="1"/>
  <c r="R44" i="1" s="1"/>
  <c r="U45" i="1" s="1"/>
  <c r="K46" i="1" l="1"/>
  <c r="J46" i="1" s="1"/>
  <c r="H46" i="1" s="1"/>
  <c r="T45" i="1"/>
  <c r="R45" i="1" s="1"/>
  <c r="U46" i="1" s="1"/>
  <c r="K47" i="1" l="1"/>
  <c r="J47" i="1" s="1"/>
  <c r="H47" i="1" s="1"/>
  <c r="T46" i="1"/>
  <c r="R46" i="1" s="1"/>
  <c r="U47" i="1" s="1"/>
  <c r="K48" i="1" l="1"/>
  <c r="J48" i="1" s="1"/>
  <c r="H48" i="1" s="1"/>
  <c r="T47" i="1"/>
  <c r="R47" i="1" s="1"/>
  <c r="U48" i="1" s="1"/>
  <c r="K49" i="1" l="1"/>
  <c r="J49" i="1" s="1"/>
  <c r="H49" i="1" s="1"/>
  <c r="T48" i="1"/>
  <c r="R48" i="1" s="1"/>
  <c r="U49" i="1" s="1"/>
  <c r="K50" i="1" l="1"/>
  <c r="J50" i="1" s="1"/>
  <c r="H50" i="1" s="1"/>
  <c r="T49" i="1"/>
  <c r="R49" i="1" s="1"/>
  <c r="U50" i="1" s="1"/>
  <c r="K51" i="1" l="1"/>
  <c r="J51" i="1" s="1"/>
  <c r="H51" i="1" s="1"/>
  <c r="T50" i="1"/>
  <c r="R50" i="1" s="1"/>
  <c r="U51" i="1" s="1"/>
  <c r="K52" i="1" l="1"/>
  <c r="J52" i="1" s="1"/>
  <c r="H52" i="1" s="1"/>
  <c r="T51" i="1"/>
  <c r="R51" i="1" s="1"/>
  <c r="U52" i="1" s="1"/>
  <c r="K53" i="1" l="1"/>
  <c r="J53" i="1" s="1"/>
  <c r="H53" i="1" s="1"/>
  <c r="T52" i="1"/>
  <c r="R52" i="1" s="1"/>
  <c r="U53" i="1" s="1"/>
  <c r="K54" i="1" l="1"/>
  <c r="J54" i="1" s="1"/>
  <c r="H54" i="1" s="1"/>
  <c r="T53" i="1"/>
  <c r="R53" i="1" s="1"/>
  <c r="U54" i="1" s="1"/>
  <c r="K55" i="1" l="1"/>
  <c r="J55" i="1" s="1"/>
  <c r="H55" i="1" s="1"/>
  <c r="T54" i="1"/>
  <c r="R54" i="1" s="1"/>
  <c r="U55" i="1" s="1"/>
  <c r="K56" i="1" l="1"/>
  <c r="J56" i="1" s="1"/>
  <c r="H56" i="1" s="1"/>
  <c r="T55" i="1"/>
  <c r="R55" i="1" s="1"/>
  <c r="U56" i="1" s="1"/>
  <c r="K57" i="1" l="1"/>
  <c r="J57" i="1" s="1"/>
  <c r="H57" i="1" s="1"/>
  <c r="T56" i="1"/>
  <c r="R56" i="1" s="1"/>
  <c r="U57" i="1" s="1"/>
  <c r="K58" i="1" l="1"/>
  <c r="J58" i="1" s="1"/>
  <c r="H58" i="1" s="1"/>
  <c r="T57" i="1"/>
  <c r="R57" i="1" s="1"/>
  <c r="U58" i="1" s="1"/>
  <c r="K59" i="1" l="1"/>
  <c r="J59" i="1" s="1"/>
  <c r="H59" i="1" s="1"/>
  <c r="T58" i="1"/>
  <c r="R58" i="1" s="1"/>
  <c r="U59" i="1" s="1"/>
  <c r="K60" i="1" l="1"/>
  <c r="J60" i="1" s="1"/>
  <c r="H60" i="1" s="1"/>
  <c r="T59" i="1"/>
  <c r="R59" i="1" s="1"/>
  <c r="U60" i="1" s="1"/>
  <c r="K61" i="1" l="1"/>
  <c r="J61" i="1" s="1"/>
  <c r="H61" i="1" s="1"/>
  <c r="T60" i="1"/>
  <c r="R60" i="1" s="1"/>
  <c r="U61" i="1" s="1"/>
  <c r="K62" i="1" l="1"/>
  <c r="J62" i="1" s="1"/>
  <c r="H62" i="1" s="1"/>
  <c r="T61" i="1"/>
  <c r="R61" i="1" s="1"/>
  <c r="U62" i="1" s="1"/>
  <c r="K63" i="1" l="1"/>
  <c r="J63" i="1" s="1"/>
  <c r="H63" i="1" s="1"/>
  <c r="T62" i="1"/>
  <c r="R62" i="1" s="1"/>
  <c r="U63" i="1" s="1"/>
  <c r="K64" i="1" l="1"/>
  <c r="J64" i="1" s="1"/>
  <c r="H64" i="1" s="1"/>
  <c r="T63" i="1"/>
  <c r="R63" i="1" s="1"/>
  <c r="U64" i="1" s="1"/>
  <c r="K65" i="1" l="1"/>
  <c r="J65" i="1" s="1"/>
  <c r="H65" i="1" s="1"/>
  <c r="T64" i="1"/>
  <c r="R64" i="1" s="1"/>
  <c r="U65" i="1" s="1"/>
  <c r="K66" i="1" l="1"/>
  <c r="J66" i="1" s="1"/>
  <c r="H66" i="1" s="1"/>
  <c r="T65" i="1"/>
  <c r="R65" i="1" s="1"/>
  <c r="U66" i="1" s="1"/>
  <c r="T66" i="1" l="1"/>
  <c r="R66" i="1" s="1"/>
  <c r="U67" i="1" s="1"/>
  <c r="T67" i="1" l="1"/>
  <c r="R67" i="1" s="1"/>
  <c r="U68" i="1" s="1"/>
  <c r="T68" i="1" l="1"/>
  <c r="R68" i="1" s="1"/>
  <c r="U69" i="1" s="1"/>
  <c r="T69" i="1" l="1"/>
  <c r="R69" i="1" s="1"/>
  <c r="U70" i="1" s="1"/>
  <c r="T70" i="1" l="1"/>
  <c r="R70" i="1" s="1"/>
  <c r="U71" i="1" s="1"/>
  <c r="T71" i="1" l="1"/>
  <c r="R71" i="1" s="1"/>
  <c r="U72" i="1" s="1"/>
  <c r="T72" i="1" l="1"/>
  <c r="R72" i="1" s="1"/>
  <c r="U73" i="1" s="1"/>
  <c r="T73" i="1" l="1"/>
  <c r="R73" i="1" s="1"/>
  <c r="U74" i="1" s="1"/>
  <c r="T74" i="1" l="1"/>
  <c r="R74" i="1" s="1"/>
  <c r="U75" i="1" s="1"/>
  <c r="T75" i="1" l="1"/>
  <c r="R75" i="1" s="1"/>
  <c r="U76" i="1" s="1"/>
  <c r="T76" i="1" l="1"/>
  <c r="R76" i="1" s="1"/>
  <c r="U77" i="1" s="1"/>
  <c r="T77" i="1" l="1"/>
  <c r="R77" i="1" s="1"/>
  <c r="U78" i="1" s="1"/>
  <c r="T78" i="1" l="1"/>
  <c r="R78" i="1" s="1"/>
  <c r="U79" i="1" s="1"/>
  <c r="T79" i="1" l="1"/>
  <c r="R79" i="1" s="1"/>
  <c r="U80" i="1" s="1"/>
  <c r="T80" i="1" l="1"/>
  <c r="R80" i="1" s="1"/>
  <c r="U81" i="1" s="1"/>
  <c r="T81" i="1" l="1"/>
  <c r="R81" i="1" s="1"/>
  <c r="U82" i="1" s="1"/>
  <c r="T82" i="1" l="1"/>
  <c r="R82" i="1" s="1"/>
  <c r="U83" i="1" s="1"/>
  <c r="T83" i="1" l="1"/>
  <c r="R83" i="1" s="1"/>
  <c r="U84" i="1" s="1"/>
  <c r="T84" i="1" l="1"/>
  <c r="R84" i="1" s="1"/>
  <c r="U85" i="1" s="1"/>
  <c r="T85" i="1" l="1"/>
  <c r="R85" i="1" s="1"/>
  <c r="U86" i="1" s="1"/>
  <c r="T86" i="1" l="1"/>
  <c r="R86" i="1" s="1"/>
  <c r="U87" i="1" s="1"/>
  <c r="T87" i="1" l="1"/>
  <c r="R87" i="1" s="1"/>
  <c r="U88" i="1" s="1"/>
  <c r="T88" i="1" l="1"/>
  <c r="R88" i="1" s="1"/>
  <c r="U89" i="1" s="1"/>
  <c r="T89" i="1" l="1"/>
  <c r="R89" i="1" s="1"/>
  <c r="U90" i="1" s="1"/>
  <c r="T90" i="1" l="1"/>
  <c r="R90" i="1" s="1"/>
  <c r="U91" i="1" s="1"/>
  <c r="T91" i="1" l="1"/>
  <c r="R91" i="1" s="1"/>
  <c r="U92" i="1" s="1"/>
  <c r="T92" i="1" l="1"/>
  <c r="R92" i="1" s="1"/>
  <c r="U93" i="1" s="1"/>
  <c r="T93" i="1" l="1"/>
  <c r="R93" i="1" s="1"/>
  <c r="U94" i="1" s="1"/>
  <c r="T94" i="1" l="1"/>
  <c r="R94" i="1" s="1"/>
  <c r="U95" i="1" s="1"/>
  <c r="T95" i="1" l="1"/>
  <c r="R95" i="1" s="1"/>
  <c r="U96" i="1" s="1"/>
  <c r="T96" i="1" l="1"/>
  <c r="R96" i="1" s="1"/>
  <c r="U97" i="1" s="1"/>
  <c r="T97" i="1" l="1"/>
  <c r="R97" i="1" s="1"/>
  <c r="U98" i="1" s="1"/>
  <c r="T98" i="1" l="1"/>
  <c r="R98" i="1" s="1"/>
  <c r="U99" i="1" s="1"/>
  <c r="T99" i="1" l="1"/>
  <c r="R99" i="1" s="1"/>
  <c r="U100" i="1" s="1"/>
  <c r="T100" i="1" l="1"/>
  <c r="R100" i="1" s="1"/>
  <c r="U101" i="1" s="1"/>
  <c r="T101" i="1" l="1"/>
  <c r="R101" i="1" s="1"/>
  <c r="U102" i="1" s="1"/>
  <c r="T102" i="1" l="1"/>
  <c r="R102" i="1" s="1"/>
  <c r="U103" i="1" s="1"/>
  <c r="T103" i="1" l="1"/>
  <c r="R103" i="1" s="1"/>
  <c r="U104" i="1" s="1"/>
  <c r="T104" i="1" l="1"/>
  <c r="R104" i="1" s="1"/>
  <c r="U105" i="1" s="1"/>
  <c r="T105" i="1" l="1"/>
  <c r="R105" i="1" s="1"/>
  <c r="U106" i="1" s="1"/>
  <c r="T106" i="1" l="1"/>
  <c r="R106" i="1" s="1"/>
  <c r="U107" i="1" s="1"/>
  <c r="T107" i="1" l="1"/>
  <c r="R107" i="1" s="1"/>
  <c r="U108" i="1" s="1"/>
  <c r="T108" i="1" l="1"/>
  <c r="R108" i="1" s="1"/>
  <c r="U109" i="1" s="1"/>
  <c r="T109" i="1" l="1"/>
  <c r="R109" i="1" s="1"/>
  <c r="U110" i="1" s="1"/>
  <c r="T110" i="1" l="1"/>
  <c r="R110" i="1" s="1"/>
  <c r="U111" i="1" s="1"/>
  <c r="T111" i="1" l="1"/>
  <c r="R111" i="1" s="1"/>
  <c r="U112" i="1" s="1"/>
  <c r="T112" i="1" l="1"/>
  <c r="R112" i="1" s="1"/>
  <c r="U113" i="1" s="1"/>
  <c r="T113" i="1" l="1"/>
  <c r="R113" i="1" s="1"/>
  <c r="U114" i="1" s="1"/>
  <c r="T114" i="1" l="1"/>
  <c r="R114" i="1" s="1"/>
  <c r="U115" i="1" s="1"/>
  <c r="T115" i="1" l="1"/>
  <c r="R115" i="1" s="1"/>
  <c r="U116" i="1" s="1"/>
  <c r="T116" i="1" l="1"/>
  <c r="R116" i="1" s="1"/>
  <c r="U117" i="1" s="1"/>
  <c r="T117" i="1" l="1"/>
  <c r="R117" i="1" s="1"/>
  <c r="U118" i="1" s="1"/>
  <c r="T118" i="1" l="1"/>
  <c r="R118" i="1" s="1"/>
  <c r="U119" i="1" s="1"/>
  <c r="T119" i="1" l="1"/>
  <c r="R119" i="1" s="1"/>
  <c r="U120" i="1" s="1"/>
  <c r="T120" i="1" l="1"/>
  <c r="R120" i="1" s="1"/>
  <c r="U121" i="1" s="1"/>
  <c r="T121" i="1" l="1"/>
  <c r="R121" i="1" s="1"/>
  <c r="U122" i="1" s="1"/>
  <c r="T122" i="1" l="1"/>
  <c r="R122" i="1" s="1"/>
  <c r="U123" i="1" s="1"/>
  <c r="T123" i="1" l="1"/>
  <c r="R123" i="1" s="1"/>
  <c r="U124" i="1" s="1"/>
  <c r="T124" i="1" l="1"/>
  <c r="R124" i="1" s="1"/>
  <c r="U125" i="1" s="1"/>
  <c r="T125" i="1" l="1"/>
  <c r="R125" i="1" s="1"/>
  <c r="U126" i="1" s="1"/>
  <c r="T126" i="1" l="1"/>
  <c r="R1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tc={A5EF15BE-1A93-4CC6-9CB0-6522BA7EC752}</author>
  </authors>
  <commentList>
    <comment ref="E14" authorId="0" shapeId="0" xr:uid="{A5EF15BE-1A93-4CC6-9CB0-6522BA7EC752}">
      <text>
        <t>[Threaded comment]
Your version of Excel allows you to read this threaded comment; however, any edits to it will get removed if the file is opened in a newer version of Excel. Learn more: https://go.microsoft.com/fwlink/?linkid=870924
Comment:
    La fórmula PAGO de Excel se puede expresar de forma explicita de esta forma =(E6+E13-E7-E12)*E9/(1-1/(1+E9)^E11)+E12*E9</t>
      </text>
    </comment>
  </commentList>
</comments>
</file>

<file path=xl/sharedStrings.xml><?xml version="1.0" encoding="utf-8"?>
<sst xmlns="http://schemas.openxmlformats.org/spreadsheetml/2006/main" count="32" uniqueCount="21">
  <si>
    <t>CALCULADORA AUTOMÁTICA DEL CUADRO DE AMORTIZACIÓN</t>
  </si>
  <si>
    <t>Información del contrato</t>
  </si>
  <si>
    <t>Mes</t>
  </si>
  <si>
    <t>Capital restante</t>
  </si>
  <si>
    <t>Cuota pagada</t>
  </si>
  <si>
    <t>Capital pagado</t>
  </si>
  <si>
    <t>Intereses pagados</t>
  </si>
  <si>
    <t>Financiación de la última cuota</t>
  </si>
  <si>
    <t>Precio de adquisición</t>
  </si>
  <si>
    <t>Entrada</t>
  </si>
  <si>
    <t>Tipo de interés (anual)</t>
  </si>
  <si>
    <t>Tipo de interés (mensual)</t>
  </si>
  <si>
    <t>Duración (años)</t>
  </si>
  <si>
    <t>Duración (meses)</t>
  </si>
  <si>
    <t>CUOTA</t>
  </si>
  <si>
    <t>Valor residual</t>
  </si>
  <si>
    <t>Costes de servicios asociados</t>
  </si>
  <si>
    <t>Cuota</t>
  </si>
  <si>
    <t>Resumen</t>
  </si>
  <si>
    <t>Número de cuotas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</si>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</sst>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8" fontId="0" fillId="0" borderId="0" xfId="0" applyNumberFormat="1"/>
    <xf numFmtId="44" fontId="0" fillId="0" borderId="0" xfId="0" applyNumberFormat="1"/>
    <xf numFmtId="0" fontId="0" fillId="2" borderId="0" xfId="0" applyFill="1"/>
    <xf numFmtId="0" fontId="0" fillId="0" borderId="3" xfId="0" applyBorder="1"/>
    <xf numFmtId="0" fontId="0" fillId="0" borderId="4" xfId="0" applyBorder="1"/>
    <xf numFmtId="44" fontId="0" fillId="0" borderId="4" xfId="0" applyNumberFormat="1" applyBorder="1"/>
    <xf numFmtId="0" fontId="0" fillId="0" borderId="5" xfId="0" applyBorder="1"/>
    <xf numFmtId="8" fontId="0" fillId="0" borderId="6" xfId="0" applyNumberFormat="1" applyBorder="1"/>
    <xf numFmtId="44" fontId="0" fillId="0" borderId="7" xfId="0" applyNumberFormat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1" xfId="0" applyBorder="1"/>
    <xf numFmtId="44" fontId="0" fillId="0" borderId="2" xfId="1" applyFont="1" applyBorder="1"/>
    <xf numFmtId="44" fontId="0" fillId="0" borderId="4" xfId="1" applyFont="1" applyBorder="1"/>
    <xf numFmtId="9" fontId="0" fillId="0" borderId="4" xfId="0" applyNumberFormat="1" applyBorder="1"/>
    <xf numFmtId="10" fontId="0" fillId="0" borderId="4" xfId="2" applyNumberFormat="1" applyFont="1" applyBorder="1"/>
    <xf numFmtId="44" fontId="0" fillId="0" borderId="7" xfId="1" applyFont="1" applyBorder="1"/>
    <xf numFmtId="0" fontId="3" fillId="5" borderId="8" xfId="0" applyFont="1" applyFill="1" applyBorder="1"/>
    <xf numFmtId="8" fontId="3" fillId="5" borderId="10" xfId="0" applyNumberFormat="1" applyFont="1" applyFill="1" applyBorder="1"/>
    <xf numFmtId="0" fontId="0" fillId="6" borderId="0" xfId="0" applyFill="1"/>
    <xf numFmtId="0" fontId="4" fillId="6" borderId="0" xfId="0" applyFont="1" applyFill="1"/>
    <xf numFmtId="0" fontId="0" fillId="0" borderId="2" xfId="0" applyBorder="1"/>
    <xf numFmtId="0" fontId="0" fillId="0" borderId="7" xfId="0" applyBorder="1"/>
    <xf numFmtId="8" fontId="0" fillId="0" borderId="7" xfId="0" applyNumberFormat="1" applyBorder="1"/>
    <xf numFmtId="44" fontId="0" fillId="0" borderId="0" xfId="1" applyFont="1" applyBorder="1"/>
    <xf numFmtId="44" fontId="0" fillId="0" borderId="6" xfId="1" applyFont="1" applyBorder="1"/>
    <xf numFmtId="8" fontId="0" fillId="0" borderId="0" xfId="0" applyNumberFormat="1" applyAlignment="1">
      <alignment vertical="top"/>
    </xf>
    <xf numFmtId="0" fontId="0" fillId="0" borderId="11" xfId="0" applyBorder="1" applyAlignment="1">
      <alignment horizontal="center"/>
    </xf>
    <xf numFmtId="44" fontId="0" fillId="0" borderId="12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44" fontId="0" fillId="0" borderId="15" xfId="0" applyNumberFormat="1" applyBorder="1"/>
    <xf numFmtId="0" fontId="0" fillId="0" borderId="16" xfId="0" applyBorder="1" applyAlignment="1">
      <alignment horizontal="center"/>
    </xf>
    <xf numFmtId="44" fontId="3" fillId="0" borderId="17" xfId="0" applyNumberFormat="1" applyFont="1" applyBorder="1"/>
    <xf numFmtId="8" fontId="0" fillId="0" borderId="17" xfId="0" applyNumberFormat="1" applyBorder="1" applyAlignment="1">
      <alignment vertical="top"/>
    </xf>
    <xf numFmtId="8" fontId="0" fillId="0" borderId="17" xfId="0" applyNumberFormat="1" applyBorder="1"/>
    <xf numFmtId="44" fontId="0" fillId="0" borderId="18" xfId="0" applyNumberFormat="1" applyBorder="1"/>
    <xf numFmtId="8" fontId="2" fillId="6" borderId="0" xfId="0" applyNumberFormat="1" applyFont="1" applyFill="1"/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'Calculadora cuota de arrendamie'!$J$5</c:f>
              <c:strCache>
                <c:ptCount val="1"/>
                <c:pt idx="0">
                  <c:v>Capital pagado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'Calculadora cuota de arrendamie'!$G$6:$G$66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'Calculadora cuota de arrendamie'!$J$7:$J$66</c:f>
              <c:numCache>
                <c:formatCode>"€"#,##0.00_);[Red]\("€"#,##0.00\)</c:formatCode>
                <c:ptCount val="60"/>
                <c:pt idx="0">
                  <c:v>299.41400767843425</c:v>
                </c:pt>
                <c:pt idx="1">
                  <c:v>301.41010106295721</c:v>
                </c:pt>
                <c:pt idx="2">
                  <c:v>303.41950173671023</c:v>
                </c:pt>
                <c:pt idx="3">
                  <c:v>305.44229841495496</c:v>
                </c:pt>
                <c:pt idx="4">
                  <c:v>307.47858040438797</c:v>
                </c:pt>
                <c:pt idx="5">
                  <c:v>309.5284376070839</c:v>
                </c:pt>
                <c:pt idx="6">
                  <c:v>311.59196052446447</c:v>
                </c:pt>
                <c:pt idx="7">
                  <c:v>313.66924026129425</c:v>
                </c:pt>
                <c:pt idx="8">
                  <c:v>315.76036852970287</c:v>
                </c:pt>
                <c:pt idx="9">
                  <c:v>317.86543765323421</c:v>
                </c:pt>
                <c:pt idx="10">
                  <c:v>319.98454057092243</c:v>
                </c:pt>
                <c:pt idx="11">
                  <c:v>322.11777084139527</c:v>
                </c:pt>
                <c:pt idx="12">
                  <c:v>324.26522264700458</c:v>
                </c:pt>
                <c:pt idx="13">
                  <c:v>326.42699079798462</c:v>
                </c:pt>
                <c:pt idx="14">
                  <c:v>328.60317073663782</c:v>
                </c:pt>
                <c:pt idx="15">
                  <c:v>330.79385854154873</c:v>
                </c:pt>
                <c:pt idx="16">
                  <c:v>332.99915093182574</c:v>
                </c:pt>
                <c:pt idx="17">
                  <c:v>335.21914527137125</c:v>
                </c:pt>
                <c:pt idx="18">
                  <c:v>337.45393957318038</c:v>
                </c:pt>
                <c:pt idx="19">
                  <c:v>339.70363250366825</c:v>
                </c:pt>
                <c:pt idx="20">
                  <c:v>341.96832338702603</c:v>
                </c:pt>
                <c:pt idx="21">
                  <c:v>344.24811220960623</c:v>
                </c:pt>
                <c:pt idx="22">
                  <c:v>346.54309962433695</c:v>
                </c:pt>
                <c:pt idx="23">
                  <c:v>348.85338695516589</c:v>
                </c:pt>
                <c:pt idx="24">
                  <c:v>351.17907620153363</c:v>
                </c:pt>
                <c:pt idx="25">
                  <c:v>353.5202700428772</c:v>
                </c:pt>
                <c:pt idx="26">
                  <c:v>355.87707184316304</c:v>
                </c:pt>
                <c:pt idx="27">
                  <c:v>358.2495856554508</c:v>
                </c:pt>
                <c:pt idx="28">
                  <c:v>360.63791622648716</c:v>
                </c:pt>
                <c:pt idx="29">
                  <c:v>363.04216900133036</c:v>
                </c:pt>
                <c:pt idx="30">
                  <c:v>365.46245012800591</c:v>
                </c:pt>
                <c:pt idx="31">
                  <c:v>367.89886646219259</c:v>
                </c:pt>
                <c:pt idx="32">
                  <c:v>370.35152557194056</c:v>
                </c:pt>
                <c:pt idx="33">
                  <c:v>372.82053574242013</c:v>
                </c:pt>
                <c:pt idx="34">
                  <c:v>375.30600598070293</c:v>
                </c:pt>
                <c:pt idx="35">
                  <c:v>377.80804602057435</c:v>
                </c:pt>
                <c:pt idx="36">
                  <c:v>380.32676632737815</c:v>
                </c:pt>
                <c:pt idx="37">
                  <c:v>382.86227810289404</c:v>
                </c:pt>
                <c:pt idx="38">
                  <c:v>385.41469329024665</c:v>
                </c:pt>
                <c:pt idx="39">
                  <c:v>387.98412457884825</c:v>
                </c:pt>
                <c:pt idx="40">
                  <c:v>390.57068540937394</c:v>
                </c:pt>
                <c:pt idx="41">
                  <c:v>393.17448997876977</c:v>
                </c:pt>
                <c:pt idx="42">
                  <c:v>395.79565324529489</c:v>
                </c:pt>
                <c:pt idx="43">
                  <c:v>398.43429093359686</c:v>
                </c:pt>
                <c:pt idx="44">
                  <c:v>401.09051953982083</c:v>
                </c:pt>
                <c:pt idx="45">
                  <c:v>403.76445633675297</c:v>
                </c:pt>
                <c:pt idx="46">
                  <c:v>406.45621937899796</c:v>
                </c:pt>
                <c:pt idx="47">
                  <c:v>409.16592750819132</c:v>
                </c:pt>
                <c:pt idx="48">
                  <c:v>411.89370035824589</c:v>
                </c:pt>
                <c:pt idx="49">
                  <c:v>414.6396583606342</c:v>
                </c:pt>
                <c:pt idx="50">
                  <c:v>417.40392274970509</c:v>
                </c:pt>
                <c:pt idx="51">
                  <c:v>420.18661556803647</c:v>
                </c:pt>
                <c:pt idx="52">
                  <c:v>422.9878596718234</c:v>
                </c:pt>
                <c:pt idx="53">
                  <c:v>425.80777873630223</c:v>
                </c:pt>
                <c:pt idx="54">
                  <c:v>428.64649726121087</c:v>
                </c:pt>
                <c:pt idx="55">
                  <c:v>431.50414057628564</c:v>
                </c:pt>
                <c:pt idx="56">
                  <c:v>434.38083484679419</c:v>
                </c:pt>
                <c:pt idx="57">
                  <c:v>437.27670707910613</c:v>
                </c:pt>
                <c:pt idx="58">
                  <c:v>440.19188512630018</c:v>
                </c:pt>
                <c:pt idx="59">
                  <c:v>443.12649769380886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1-4D62-B278-DCC2A7F37FC5}"/>
            </c:ext>
          </c:extLst>
        </c:ser>
        <c:ser>
          <c:idx val="1"/>
          <c:order val="1"/>
          <c:tx>
            <c:strRef>
              <c:f>'Calculadora cuota de arrendamie'!$K$5</c:f>
              <c:strCache>
                <c:ptCount val="1"/>
                <c:pt idx="0">
                  <c:v>Intereses pagados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'Calculadora cuota de arrendamie'!$G$6:$G$66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'Calculadora cuota de arrendamie'!$K$7:$K$66</c:f>
              <c:numCache>
                <c:formatCode>_("€"* #,##0.00_);_("€"* \(#,##0.00\);_("€"* "-"??_);_(@_)</c:formatCode>
                <c:ptCount val="60"/>
                <c:pt idx="0">
                  <c:v>213.33333333333334</c:v>
                </c:pt>
                <c:pt idx="1">
                  <c:v>211.33723994881043</c:v>
                </c:pt>
                <c:pt idx="2">
                  <c:v>209.32783927505741</c:v>
                </c:pt>
                <c:pt idx="3">
                  <c:v>207.30504259681268</c:v>
                </c:pt>
                <c:pt idx="4">
                  <c:v>205.26876060737965</c:v>
                </c:pt>
                <c:pt idx="5">
                  <c:v>203.21890340468372</c:v>
                </c:pt>
                <c:pt idx="6">
                  <c:v>201.15538048730315</c:v>
                </c:pt>
                <c:pt idx="7">
                  <c:v>199.0781007504734</c:v>
                </c:pt>
                <c:pt idx="8">
                  <c:v>196.98697248206477</c:v>
                </c:pt>
                <c:pt idx="9">
                  <c:v>194.88190335853341</c:v>
                </c:pt>
                <c:pt idx="10">
                  <c:v>192.76280044084518</c:v>
                </c:pt>
                <c:pt idx="11">
                  <c:v>190.62957017037235</c:v>
                </c:pt>
                <c:pt idx="12">
                  <c:v>188.48211836476304</c:v>
                </c:pt>
                <c:pt idx="13">
                  <c:v>186.320350213783</c:v>
                </c:pt>
                <c:pt idx="14">
                  <c:v>184.1441702751298</c:v>
                </c:pt>
                <c:pt idx="15">
                  <c:v>181.95348247021886</c:v>
                </c:pt>
                <c:pt idx="16">
                  <c:v>179.74819007994185</c:v>
                </c:pt>
                <c:pt idx="17">
                  <c:v>177.52819574039637</c:v>
                </c:pt>
                <c:pt idx="18">
                  <c:v>175.29340143858724</c:v>
                </c:pt>
                <c:pt idx="19">
                  <c:v>173.04370850809937</c:v>
                </c:pt>
                <c:pt idx="20">
                  <c:v>170.77901762474158</c:v>
                </c:pt>
                <c:pt idx="21">
                  <c:v>168.49922880216138</c:v>
                </c:pt>
                <c:pt idx="22">
                  <c:v>166.20424138743067</c:v>
                </c:pt>
                <c:pt idx="23">
                  <c:v>163.89395405660176</c:v>
                </c:pt>
                <c:pt idx="24">
                  <c:v>161.56826481023398</c:v>
                </c:pt>
                <c:pt idx="25">
                  <c:v>159.22707096889044</c:v>
                </c:pt>
                <c:pt idx="26">
                  <c:v>156.87026916860458</c:v>
                </c:pt>
                <c:pt idx="27">
                  <c:v>154.49775535631684</c:v>
                </c:pt>
                <c:pt idx="28">
                  <c:v>152.10942478528048</c:v>
                </c:pt>
                <c:pt idx="29">
                  <c:v>149.70517201043725</c:v>
                </c:pt>
                <c:pt idx="30">
                  <c:v>147.2848908837617</c:v>
                </c:pt>
                <c:pt idx="31">
                  <c:v>144.848474549575</c:v>
                </c:pt>
                <c:pt idx="32">
                  <c:v>142.39581543982703</c:v>
                </c:pt>
                <c:pt idx="33">
                  <c:v>139.92680526934745</c:v>
                </c:pt>
                <c:pt idx="34">
                  <c:v>137.44133503106465</c:v>
                </c:pt>
                <c:pt idx="35">
                  <c:v>134.93929499119329</c:v>
                </c:pt>
                <c:pt idx="36">
                  <c:v>132.42057468438946</c:v>
                </c:pt>
                <c:pt idx="37">
                  <c:v>129.88506290887361</c:v>
                </c:pt>
                <c:pt idx="38">
                  <c:v>127.332647721521</c:v>
                </c:pt>
                <c:pt idx="39">
                  <c:v>124.76321643291935</c:v>
                </c:pt>
                <c:pt idx="40">
                  <c:v>122.17665560239369</c:v>
                </c:pt>
                <c:pt idx="41">
                  <c:v>119.57285103299787</c:v>
                </c:pt>
                <c:pt idx="42">
                  <c:v>116.95168776647273</c:v>
                </c:pt>
                <c:pt idx="43">
                  <c:v>114.31305007817076</c:v>
                </c:pt>
                <c:pt idx="44">
                  <c:v>111.65682147194678</c:v>
                </c:pt>
                <c:pt idx="45">
                  <c:v>108.98288467501465</c:v>
                </c:pt>
                <c:pt idx="46">
                  <c:v>106.29112163276963</c:v>
                </c:pt>
                <c:pt idx="47">
                  <c:v>103.58141350357631</c:v>
                </c:pt>
                <c:pt idx="48">
                  <c:v>100.85364065352171</c:v>
                </c:pt>
                <c:pt idx="49">
                  <c:v>98.107682651133402</c:v>
                </c:pt>
                <c:pt idx="50">
                  <c:v>95.343418262062514</c:v>
                </c:pt>
                <c:pt idx="51">
                  <c:v>92.560725443731144</c:v>
                </c:pt>
                <c:pt idx="52">
                  <c:v>89.75948133994423</c:v>
                </c:pt>
                <c:pt idx="53">
                  <c:v>86.93956227546542</c:v>
                </c:pt>
                <c:pt idx="54">
                  <c:v>84.100843750556734</c:v>
                </c:pt>
                <c:pt idx="55">
                  <c:v>81.243200435481995</c:v>
                </c:pt>
                <c:pt idx="56">
                  <c:v>78.36650616497343</c:v>
                </c:pt>
                <c:pt idx="57">
                  <c:v>75.470633932661471</c:v>
                </c:pt>
                <c:pt idx="58">
                  <c:v>72.555455885467424</c:v>
                </c:pt>
                <c:pt idx="59">
                  <c:v>69.620843317958759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1-4D62-B278-DCC2A7F3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58125840"/>
        <c:axId val="758090800"/>
      </c:barChart>
      <c:catAx>
        <c:axId val="7581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758090800"/>
        <c:crosses val="autoZero"/>
        <c:auto val="1"/>
        <c:lblAlgn val="ctr"/>
        <c:lblOffset val="100"/>
        <c:tickLblSkip val="5"/>
        <c:noMultiLvlLbl val="0"/>
      </c:catAx>
      <c:valAx>
        <c:axId val="7580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7581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343646</xdr:colOff>
      <xdr:row>43</xdr:row>
      <xdr:rowOff>7471</xdr:rowOff>
    </xdr:from>
    <xdr:to>
      <xdr:col>11</xdr:col>
      <xdr:colOff>605118</xdr:colOff>
      <xdr:row>59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02740C-F292-5122-03D3-E03A445D8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Carlos Llamas Nuñez" id="{E7D94283-3989-41D5-B5E2-113D0DD008C0}" userId="S::juan.carlos.llamas.1@managementsolutions.com::686aeec9-d228-4f5c-866f-834e6417151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5-05-06T16:46:19.05" personId="{E7D94283-3989-41D5-B5E2-113D0DD008C0}" id="{A5EF15BE-1A93-4CC6-9CB0-6522BA7EC752}">
    <text>La fórmula PAGO de Excel se puede expresar de forma explicita de esta forma =(E6+E13-E7-E12)*E9/(1-1/(1+E9)^E11)+E12*E9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26"/>
  <sheetViews>
    <sheetView showGridLines="0" tabSelected="1" topLeftCell="B1" zoomScale="77" workbookViewId="0">
      <selection activeCell="E28" sqref="E28"/>
    </sheetView>
  </sheetViews>
  <sheetFormatPr defaultRowHeight="14.45"/>
  <cols>
    <col min="1" max="2" width="8.7109375" style="3"/>
    <col min="3" max="3" width="1.5703125" style="21" customWidth="1"/>
    <col min="4" max="4" width="33.28515625" customWidth="1"/>
    <col min="5" max="5" width="12.140625" bestFit="1" customWidth="1"/>
    <col min="6" max="6" width="4.85546875" customWidth="1"/>
    <col min="7" max="7" width="11.85546875" customWidth="1"/>
    <col min="8" max="8" width="16.140625" customWidth="1"/>
    <col min="9" max="9" width="15.85546875" customWidth="1"/>
    <col min="10" max="10" width="13.42578125" bestFit="1" customWidth="1"/>
    <col min="11" max="11" width="16.140625" bestFit="1" customWidth="1"/>
    <col min="14" max="14" width="26.7109375" bestFit="1" customWidth="1"/>
    <col min="15" max="15" width="12.28515625" bestFit="1" customWidth="1"/>
    <col min="18" max="18" width="14" bestFit="1" customWidth="1"/>
    <col min="19" max="19" width="12.28515625" bestFit="1" customWidth="1"/>
    <col min="20" max="20" width="13.28515625" bestFit="1" customWidth="1"/>
    <col min="21" max="21" width="16" bestFit="1" customWidth="1"/>
  </cols>
  <sheetData>
    <row r="1" spans="4:21" s="3" customFormat="1"/>
    <row r="2" spans="4:21" s="3" customFormat="1" ht="18.600000000000001">
      <c r="D2" s="45" t="s">
        <v>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4:21" s="3" customFormat="1" ht="18.600000000000001" customHeight="1"/>
    <row r="4" spans="4:21" ht="15" thickBot="1"/>
    <row r="5" spans="4:21" ht="15" thickBot="1">
      <c r="D5" s="41" t="s">
        <v>1</v>
      </c>
      <c r="E5" s="42"/>
      <c r="G5" s="10" t="s">
        <v>2</v>
      </c>
      <c r="H5" s="11" t="s">
        <v>3</v>
      </c>
      <c r="I5" s="11" t="s">
        <v>4</v>
      </c>
      <c r="J5" s="11" t="s">
        <v>5</v>
      </c>
      <c r="K5" s="12" t="s">
        <v>6</v>
      </c>
      <c r="N5" s="43" t="s">
        <v>7</v>
      </c>
      <c r="O5" s="44"/>
      <c r="Q5" s="10" t="s">
        <v>2</v>
      </c>
      <c r="R5" s="11" t="s">
        <v>3</v>
      </c>
      <c r="S5" s="11" t="s">
        <v>4</v>
      </c>
      <c r="T5" s="11" t="s">
        <v>5</v>
      </c>
      <c r="U5" s="12" t="s">
        <v>6</v>
      </c>
    </row>
    <row r="6" spans="4:21">
      <c r="D6" s="13" t="s">
        <v>8</v>
      </c>
      <c r="E6" s="14">
        <v>30000</v>
      </c>
      <c r="G6" s="29">
        <v>0</v>
      </c>
      <c r="H6" s="30">
        <f>E6-E7+E13</f>
        <v>32000</v>
      </c>
      <c r="I6" s="31"/>
      <c r="J6" s="31"/>
      <c r="K6" s="32"/>
      <c r="N6" s="13" t="s">
        <v>3</v>
      </c>
      <c r="O6" s="14">
        <f>E12</f>
        <v>10000</v>
      </c>
      <c r="Q6" s="4">
        <v>0</v>
      </c>
      <c r="R6" s="26">
        <f>$E$12</f>
        <v>10000</v>
      </c>
      <c r="U6" s="5"/>
    </row>
    <row r="7" spans="4:21">
      <c r="D7" s="4" t="s">
        <v>9</v>
      </c>
      <c r="E7" s="15">
        <v>0</v>
      </c>
      <c r="G7" s="33">
        <v>1</v>
      </c>
      <c r="H7" s="2">
        <f>H6-J7</f>
        <v>31700.585992321565</v>
      </c>
      <c r="I7" s="28">
        <f>$E$14</f>
        <v>512.74734101176762</v>
      </c>
      <c r="J7" s="1">
        <f>I7-K7</f>
        <v>299.41400767843425</v>
      </c>
      <c r="K7" s="34">
        <f>H6*$E$9</f>
        <v>213.33333333333334</v>
      </c>
      <c r="N7" s="4" t="s">
        <v>10</v>
      </c>
      <c r="O7" s="16">
        <v>0.1</v>
      </c>
      <c r="Q7" s="4">
        <v>1</v>
      </c>
      <c r="R7" s="26">
        <f>R6-T7</f>
        <v>9951.182596451572</v>
      </c>
      <c r="S7" s="1">
        <f>$O$11</f>
        <v>132.15073688176165</v>
      </c>
      <c r="T7" s="1">
        <f>S7-U7</f>
        <v>48.817403548428317</v>
      </c>
      <c r="U7" s="6">
        <f>R6*$O$8</f>
        <v>83.333333333333329</v>
      </c>
    </row>
    <row r="8" spans="4:21">
      <c r="D8" s="4" t="s">
        <v>10</v>
      </c>
      <c r="E8" s="16">
        <v>0.08</v>
      </c>
      <c r="G8" s="33">
        <v>2</v>
      </c>
      <c r="H8" s="2">
        <f t="shared" ref="H8:H66" si="0">H7-J8</f>
        <v>31399.175891258608</v>
      </c>
      <c r="I8" s="28">
        <f>$E$14</f>
        <v>512.74734101176762</v>
      </c>
      <c r="J8" s="1">
        <f t="shared" ref="J8:J66" si="1">I8-K8</f>
        <v>301.41010106295721</v>
      </c>
      <c r="K8" s="34">
        <f>H7*$E$9</f>
        <v>211.33723994881043</v>
      </c>
      <c r="N8" s="4" t="s">
        <v>11</v>
      </c>
      <c r="O8" s="17">
        <f>O7/12</f>
        <v>8.3333333333333332E-3</v>
      </c>
      <c r="Q8" s="4">
        <v>2</v>
      </c>
      <c r="R8" s="26">
        <f t="shared" ref="R8:R71" si="2">R7-T8</f>
        <v>9901.9583812069068</v>
      </c>
      <c r="S8" s="1">
        <f>$O$11</f>
        <v>132.15073688176165</v>
      </c>
      <c r="T8" s="1">
        <f t="shared" ref="T8:T71" si="3">S8-U8</f>
        <v>49.224215244665217</v>
      </c>
      <c r="U8" s="6">
        <f>R7*$O$8</f>
        <v>82.926521637096428</v>
      </c>
    </row>
    <row r="9" spans="4:21">
      <c r="D9" s="4" t="s">
        <v>11</v>
      </c>
      <c r="E9" s="17">
        <f>E8/12</f>
        <v>6.6666666666666671E-3</v>
      </c>
      <c r="G9" s="33">
        <v>3</v>
      </c>
      <c r="H9" s="2">
        <f t="shared" si="0"/>
        <v>31095.756389521899</v>
      </c>
      <c r="I9" s="28">
        <f>$E$14</f>
        <v>512.74734101176762</v>
      </c>
      <c r="J9" s="1">
        <f t="shared" si="1"/>
        <v>303.41950173671023</v>
      </c>
      <c r="K9" s="34">
        <f>H8*$E$9</f>
        <v>209.32783927505741</v>
      </c>
      <c r="N9" s="4" t="s">
        <v>12</v>
      </c>
      <c r="O9" s="5">
        <v>10</v>
      </c>
      <c r="Q9" s="4">
        <v>3</v>
      </c>
      <c r="R9" s="26">
        <f t="shared" si="2"/>
        <v>9852.3239641685359</v>
      </c>
      <c r="S9" s="1">
        <f>$O$11</f>
        <v>132.15073688176165</v>
      </c>
      <c r="T9" s="1">
        <f t="shared" si="3"/>
        <v>49.634417038370756</v>
      </c>
      <c r="U9" s="6">
        <f>R8*$O$8</f>
        <v>82.516319843390889</v>
      </c>
    </row>
    <row r="10" spans="4:21" ht="15" thickBot="1">
      <c r="D10" s="4" t="s">
        <v>12</v>
      </c>
      <c r="E10" s="5">
        <v>5</v>
      </c>
      <c r="G10" s="33">
        <v>4</v>
      </c>
      <c r="H10" s="2">
        <f t="shared" si="0"/>
        <v>30790.314091106946</v>
      </c>
      <c r="I10" s="28">
        <f>$E$14</f>
        <v>512.74734101176762</v>
      </c>
      <c r="J10" s="1">
        <f t="shared" si="1"/>
        <v>305.44229841495496</v>
      </c>
      <c r="K10" s="34">
        <f>H9*$E$9</f>
        <v>207.30504259681268</v>
      </c>
      <c r="N10" s="7" t="s">
        <v>13</v>
      </c>
      <c r="O10" s="24">
        <f>O9*12</f>
        <v>120</v>
      </c>
      <c r="Q10" s="4">
        <v>4</v>
      </c>
      <c r="R10" s="26">
        <f t="shared" si="2"/>
        <v>9802.275926988179</v>
      </c>
      <c r="S10" s="1">
        <f>$O$11</f>
        <v>132.15073688176165</v>
      </c>
      <c r="T10" s="1">
        <f t="shared" si="3"/>
        <v>50.048037180357184</v>
      </c>
      <c r="U10" s="6">
        <f>R9*$O$8</f>
        <v>82.102699701404461</v>
      </c>
    </row>
    <row r="11" spans="4:21" ht="15" thickBot="1">
      <c r="D11" s="4" t="s">
        <v>13</v>
      </c>
      <c r="E11" s="5">
        <f>E10*12</f>
        <v>60</v>
      </c>
      <c r="G11" s="33">
        <v>5</v>
      </c>
      <c r="H11" s="2">
        <f t="shared" si="0"/>
        <v>30482.835510702556</v>
      </c>
      <c r="I11" s="28">
        <f>$E$14</f>
        <v>512.74734101176762</v>
      </c>
      <c r="J11" s="1">
        <f t="shared" si="1"/>
        <v>307.47858040438797</v>
      </c>
      <c r="K11" s="34">
        <f>H10*$E$9</f>
        <v>205.26876060737965</v>
      </c>
      <c r="N11" s="19" t="s">
        <v>14</v>
      </c>
      <c r="O11" s="20">
        <f>-PMT(O8,O10,O6)</f>
        <v>132.15073688176165</v>
      </c>
      <c r="Q11" s="4">
        <v>5</v>
      </c>
      <c r="R11" s="26">
        <f t="shared" si="2"/>
        <v>9751.8108228313195</v>
      </c>
      <c r="S11" s="1">
        <f>$O$11</f>
        <v>132.15073688176165</v>
      </c>
      <c r="T11" s="1">
        <f t="shared" si="3"/>
        <v>50.46510415686015</v>
      </c>
      <c r="U11" s="6">
        <f>R10*$O$8</f>
        <v>81.685632724901495</v>
      </c>
    </row>
    <row r="12" spans="4:21">
      <c r="D12" s="4" t="s">
        <v>15</v>
      </c>
      <c r="E12" s="15">
        <v>10000</v>
      </c>
      <c r="G12" s="33">
        <v>6</v>
      </c>
      <c r="H12" s="2">
        <f t="shared" si="0"/>
        <v>30173.307073095471</v>
      </c>
      <c r="I12" s="28">
        <f>$E$14</f>
        <v>512.74734101176762</v>
      </c>
      <c r="J12" s="1">
        <f t="shared" si="1"/>
        <v>309.5284376070839</v>
      </c>
      <c r="K12" s="34">
        <f>H11*$E$9</f>
        <v>203.21890340468372</v>
      </c>
      <c r="Q12" s="4">
        <v>6</v>
      </c>
      <c r="R12" s="26">
        <f t="shared" si="2"/>
        <v>9700.9251761398191</v>
      </c>
      <c r="S12" s="1">
        <f>$O$11</f>
        <v>132.15073688176165</v>
      </c>
      <c r="T12" s="1">
        <f t="shared" si="3"/>
        <v>50.885646691500654</v>
      </c>
      <c r="U12" s="6">
        <f>R11*$O$8</f>
        <v>81.265090190260992</v>
      </c>
    </row>
    <row r="13" spans="4:21" ht="15" thickBot="1">
      <c r="D13" s="7" t="s">
        <v>16</v>
      </c>
      <c r="E13" s="18">
        <v>2000</v>
      </c>
      <c r="G13" s="33">
        <v>7</v>
      </c>
      <c r="H13" s="2">
        <f t="shared" si="0"/>
        <v>29861.715112571008</v>
      </c>
      <c r="I13" s="28">
        <f>$E$14</f>
        <v>512.74734101176762</v>
      </c>
      <c r="J13" s="1">
        <f t="shared" si="1"/>
        <v>311.59196052446447</v>
      </c>
      <c r="K13" s="34">
        <f>H12*$E$9</f>
        <v>201.15538048730315</v>
      </c>
      <c r="Q13" s="4">
        <v>7</v>
      </c>
      <c r="R13" s="26">
        <f t="shared" si="2"/>
        <v>9649.6154823925554</v>
      </c>
      <c r="S13" s="1">
        <f>$O$11</f>
        <v>132.15073688176165</v>
      </c>
      <c r="T13" s="1">
        <f t="shared" si="3"/>
        <v>51.309693747263154</v>
      </c>
      <c r="U13" s="6">
        <f>R12*$O$8</f>
        <v>80.841043134498491</v>
      </c>
    </row>
    <row r="14" spans="4:21" ht="15" thickBot="1">
      <c r="D14" s="19" t="s">
        <v>14</v>
      </c>
      <c r="E14" s="20">
        <f>-PMT(E9,E11,E6+E13-E7,-E12)</f>
        <v>512.74734101176762</v>
      </c>
      <c r="G14" s="33">
        <v>8</v>
      </c>
      <c r="H14" s="2">
        <f t="shared" si="0"/>
        <v>29548.045872309714</v>
      </c>
      <c r="I14" s="28">
        <f>$E$14</f>
        <v>512.74734101176762</v>
      </c>
      <c r="J14" s="1">
        <f t="shared" si="1"/>
        <v>313.66924026129425</v>
      </c>
      <c r="K14" s="34">
        <f>H13*$E$9</f>
        <v>199.0781007504734</v>
      </c>
      <c r="Q14" s="4">
        <v>8</v>
      </c>
      <c r="R14" s="26">
        <f t="shared" si="2"/>
        <v>9597.8782078640652</v>
      </c>
      <c r="S14" s="1">
        <f>$O$11</f>
        <v>132.15073688176165</v>
      </c>
      <c r="T14" s="1">
        <f t="shared" si="3"/>
        <v>51.737274528490346</v>
      </c>
      <c r="U14" s="6">
        <f>R13*$O$8</f>
        <v>80.413462353271299</v>
      </c>
    </row>
    <row r="15" spans="4:21" ht="15" thickBot="1">
      <c r="D15" s="22" t="s">
        <v>17</v>
      </c>
      <c r="E15" s="40"/>
      <c r="G15" s="33">
        <v>9</v>
      </c>
      <c r="H15" s="2">
        <f t="shared" si="0"/>
        <v>29232.285503780011</v>
      </c>
      <c r="I15" s="28">
        <f>$E$14</f>
        <v>512.74734101176762</v>
      </c>
      <c r="J15" s="1">
        <f t="shared" si="1"/>
        <v>315.76036852970287</v>
      </c>
      <c r="K15" s="34">
        <f>H14*$E$9</f>
        <v>196.98697248206477</v>
      </c>
      <c r="Q15" s="4">
        <v>9</v>
      </c>
      <c r="R15" s="26">
        <f t="shared" si="2"/>
        <v>9545.7097893811715</v>
      </c>
      <c r="S15" s="1">
        <f>$O$11</f>
        <v>132.15073688176165</v>
      </c>
      <c r="T15" s="1">
        <f t="shared" si="3"/>
        <v>52.168418482894438</v>
      </c>
      <c r="U15" s="6">
        <f>R14*$O$8</f>
        <v>79.982318398867207</v>
      </c>
    </row>
    <row r="16" spans="4:21" ht="15" thickBot="1">
      <c r="D16" s="43" t="s">
        <v>18</v>
      </c>
      <c r="E16" s="44"/>
      <c r="G16" s="33">
        <v>10</v>
      </c>
      <c r="H16" s="2">
        <f t="shared" si="0"/>
        <v>28914.420066126775</v>
      </c>
      <c r="I16" s="28">
        <f>$E$14</f>
        <v>512.74734101176762</v>
      </c>
      <c r="J16" s="1">
        <f t="shared" si="1"/>
        <v>317.86543765323421</v>
      </c>
      <c r="K16" s="34">
        <f>H15*$E$9</f>
        <v>194.88190335853341</v>
      </c>
      <c r="Q16" s="4">
        <v>10</v>
      </c>
      <c r="R16" s="26">
        <f t="shared" si="2"/>
        <v>9493.1066340775869</v>
      </c>
      <c r="S16" s="1">
        <f>$O$11</f>
        <v>132.15073688176165</v>
      </c>
      <c r="T16" s="1">
        <f t="shared" si="3"/>
        <v>52.603155303585211</v>
      </c>
      <c r="U16" s="6">
        <f>R15*$O$8</f>
        <v>79.547581578176434</v>
      </c>
    </row>
    <row r="17" spans="4:21">
      <c r="D17" s="13" t="s">
        <v>19</v>
      </c>
      <c r="E17" s="23">
        <f>COUNT(I7:I66)</f>
        <v>60</v>
      </c>
      <c r="G17" s="33">
        <v>11</v>
      </c>
      <c r="H17" s="2">
        <f t="shared" si="0"/>
        <v>28594.435525555851</v>
      </c>
      <c r="I17" s="28">
        <f>$E$14</f>
        <v>512.74734101176762</v>
      </c>
      <c r="J17" s="1">
        <f t="shared" si="1"/>
        <v>319.98454057092243</v>
      </c>
      <c r="K17" s="34">
        <f>H16*$E$9</f>
        <v>192.76280044084518</v>
      </c>
      <c r="Q17" s="4">
        <v>11</v>
      </c>
      <c r="R17" s="26">
        <f t="shared" si="2"/>
        <v>9440.0651191464713</v>
      </c>
      <c r="S17" s="1">
        <f>$O$11</f>
        <v>132.15073688176165</v>
      </c>
      <c r="T17" s="1">
        <f t="shared" si="3"/>
        <v>53.041514931115088</v>
      </c>
      <c r="U17" s="6">
        <f>R16*$O$8</f>
        <v>79.109221950646557</v>
      </c>
    </row>
    <row r="18" spans="4:21" ht="15" thickBot="1">
      <c r="D18" s="7" t="s">
        <v>20</v>
      </c>
      <c r="E18" s="25">
        <f>E17*E14</f>
        <v>30764.840460706058</v>
      </c>
      <c r="G18" s="33">
        <v>12</v>
      </c>
      <c r="H18" s="2">
        <f t="shared" si="0"/>
        <v>28272.317754714455</v>
      </c>
      <c r="I18" s="28">
        <f>$E$14</f>
        <v>512.74734101176762</v>
      </c>
      <c r="J18" s="1">
        <f t="shared" si="1"/>
        <v>322.11777084139527</v>
      </c>
      <c r="K18" s="34">
        <f>H17*$E$9</f>
        <v>190.62957017037235</v>
      </c>
      <c r="Q18" s="4">
        <v>12</v>
      </c>
      <c r="R18" s="26">
        <f t="shared" si="2"/>
        <v>9386.5815915909297</v>
      </c>
      <c r="S18" s="1">
        <f>$O$11</f>
        <v>132.15073688176165</v>
      </c>
      <c r="T18" s="1">
        <f t="shared" si="3"/>
        <v>53.483527555541059</v>
      </c>
      <c r="U18" s="6">
        <f>R17*$O$8</f>
        <v>78.667209326220586</v>
      </c>
    </row>
    <row r="19" spans="4:21">
      <c r="G19" s="33">
        <v>13</v>
      </c>
      <c r="H19" s="2">
        <f t="shared" si="0"/>
        <v>27948.05253206745</v>
      </c>
      <c r="I19" s="28">
        <f>$E$14</f>
        <v>512.74734101176762</v>
      </c>
      <c r="J19" s="1">
        <f t="shared" si="1"/>
        <v>324.26522264700458</v>
      </c>
      <c r="K19" s="34">
        <f>H18*$E$9</f>
        <v>188.48211836476304</v>
      </c>
      <c r="Q19" s="4">
        <v>13</v>
      </c>
      <c r="R19" s="26">
        <f t="shared" si="2"/>
        <v>9332.6523679724251</v>
      </c>
      <c r="S19" s="1">
        <f>$O$11</f>
        <v>132.15073688176165</v>
      </c>
      <c r="T19" s="1">
        <f t="shared" si="3"/>
        <v>53.929223618503897</v>
      </c>
      <c r="U19" s="6">
        <f>R18*$O$8</f>
        <v>78.221513263257748</v>
      </c>
    </row>
    <row r="20" spans="4:21">
      <c r="G20" s="33">
        <v>14</v>
      </c>
      <c r="H20" s="2">
        <f t="shared" si="0"/>
        <v>27621.625541269466</v>
      </c>
      <c r="I20" s="28">
        <f>$E$14</f>
        <v>512.74734101176762</v>
      </c>
      <c r="J20" s="1">
        <f t="shared" si="1"/>
        <v>326.42699079798462</v>
      </c>
      <c r="K20" s="34">
        <f>H19*$E$9</f>
        <v>186.320350213783</v>
      </c>
      <c r="Q20" s="4">
        <v>14</v>
      </c>
      <c r="R20" s="26">
        <f t="shared" si="2"/>
        <v>9278.273734157101</v>
      </c>
      <c r="S20" s="1">
        <f>$O$11</f>
        <v>132.15073688176165</v>
      </c>
      <c r="T20" s="1">
        <f t="shared" si="3"/>
        <v>54.378633815324775</v>
      </c>
      <c r="U20" s="6">
        <f>R19*$O$8</f>
        <v>77.77210306643687</v>
      </c>
    </row>
    <row r="21" spans="4:21">
      <c r="D21" s="21"/>
      <c r="G21" s="33">
        <v>15</v>
      </c>
      <c r="H21" s="2">
        <f t="shared" si="0"/>
        <v>27293.022370532828</v>
      </c>
      <c r="I21" s="28">
        <f>$E$14</f>
        <v>512.74734101176762</v>
      </c>
      <c r="J21" s="1">
        <f t="shared" si="1"/>
        <v>328.60317073663782</v>
      </c>
      <c r="K21" s="34">
        <f>H20*$E$9</f>
        <v>184.1441702751298</v>
      </c>
      <c r="Q21" s="4">
        <v>15</v>
      </c>
      <c r="R21" s="26">
        <f t="shared" si="2"/>
        <v>9223.4419450599817</v>
      </c>
      <c r="S21" s="1">
        <f>$O$11</f>
        <v>132.15073688176165</v>
      </c>
      <c r="T21" s="1">
        <f t="shared" si="3"/>
        <v>54.831789097119142</v>
      </c>
      <c r="U21" s="6">
        <f>R20*$O$8</f>
        <v>77.318947784642504</v>
      </c>
    </row>
    <row r="22" spans="4:21">
      <c r="D22" s="21"/>
      <c r="G22" s="33">
        <v>16</v>
      </c>
      <c r="H22" s="2">
        <f t="shared" si="0"/>
        <v>26962.228511991278</v>
      </c>
      <c r="I22" s="28">
        <f>$E$14</f>
        <v>512.74734101176762</v>
      </c>
      <c r="J22" s="1">
        <f t="shared" si="1"/>
        <v>330.79385854154873</v>
      </c>
      <c r="K22" s="34">
        <f>H21*$E$9</f>
        <v>181.95348247021886</v>
      </c>
      <c r="Q22" s="4">
        <v>16</v>
      </c>
      <c r="R22" s="26">
        <f t="shared" si="2"/>
        <v>9168.1532243870533</v>
      </c>
      <c r="S22" s="1">
        <f>$O$11</f>
        <v>132.15073688176165</v>
      </c>
      <c r="T22" s="1">
        <f t="shared" si="3"/>
        <v>55.288720672928463</v>
      </c>
      <c r="U22" s="6">
        <f>R21*$O$8</f>
        <v>76.862016208833182</v>
      </c>
    </row>
    <row r="23" spans="4:21">
      <c r="D23" s="21"/>
      <c r="F23" s="1"/>
      <c r="G23" s="33">
        <v>17</v>
      </c>
      <c r="H23" s="2">
        <f t="shared" si="0"/>
        <v>26629.229361059453</v>
      </c>
      <c r="I23" s="28">
        <f>$E$14</f>
        <v>512.74734101176762</v>
      </c>
      <c r="J23" s="1">
        <f t="shared" si="1"/>
        <v>332.99915093182574</v>
      </c>
      <c r="K23" s="34">
        <f>H22*$E$9</f>
        <v>179.74819007994185</v>
      </c>
      <c r="Q23" s="4">
        <v>17</v>
      </c>
      <c r="R23" s="26">
        <f t="shared" si="2"/>
        <v>9112.4037643751835</v>
      </c>
      <c r="S23" s="1">
        <f>$O$11</f>
        <v>132.15073688176165</v>
      </c>
      <c r="T23" s="1">
        <f t="shared" si="3"/>
        <v>55.74946001186953</v>
      </c>
      <c r="U23" s="6">
        <f>R22*$O$8</f>
        <v>76.401276869892115</v>
      </c>
    </row>
    <row r="24" spans="4:21">
      <c r="D24" s="21"/>
      <c r="G24" s="33">
        <v>18</v>
      </c>
      <c r="H24" s="2">
        <f t="shared" si="0"/>
        <v>26294.010215788083</v>
      </c>
      <c r="I24" s="28">
        <f>$E$14</f>
        <v>512.74734101176762</v>
      </c>
      <c r="J24" s="1">
        <f t="shared" si="1"/>
        <v>335.21914527137125</v>
      </c>
      <c r="K24" s="34">
        <f>H23*$E$9</f>
        <v>177.52819574039637</v>
      </c>
      <c r="Q24" s="4">
        <v>18</v>
      </c>
      <c r="R24" s="26">
        <f t="shared" si="2"/>
        <v>9056.1897255298809</v>
      </c>
      <c r="S24" s="1">
        <f>$O$11</f>
        <v>132.15073688176165</v>
      </c>
      <c r="T24" s="1">
        <f t="shared" si="3"/>
        <v>56.214038845301786</v>
      </c>
      <c r="U24" s="6">
        <f>R23*$O$8</f>
        <v>75.936698036459859</v>
      </c>
    </row>
    <row r="25" spans="4:21">
      <c r="D25" s="21"/>
      <c r="G25" s="33">
        <v>19</v>
      </c>
      <c r="H25" s="2">
        <f t="shared" si="0"/>
        <v>25956.556276214902</v>
      </c>
      <c r="I25" s="28">
        <f>$E$14</f>
        <v>512.74734101176762</v>
      </c>
      <c r="J25" s="1">
        <f t="shared" si="1"/>
        <v>337.45393957318038</v>
      </c>
      <c r="K25" s="34">
        <f>H24*$E$9</f>
        <v>175.29340143858724</v>
      </c>
      <c r="Q25" s="4">
        <v>19</v>
      </c>
      <c r="R25" s="26">
        <f t="shared" si="2"/>
        <v>8999.5072363608688</v>
      </c>
      <c r="S25" s="1">
        <f>$O$11</f>
        <v>132.15073688176165</v>
      </c>
      <c r="T25" s="1">
        <f t="shared" si="3"/>
        <v>56.682489169012641</v>
      </c>
      <c r="U25" s="6">
        <f>R24*$O$8</f>
        <v>75.468247712749005</v>
      </c>
    </row>
    <row r="26" spans="4:21">
      <c r="G26" s="33">
        <v>20</v>
      </c>
      <c r="H26" s="2">
        <f t="shared" si="0"/>
        <v>25616.852643711234</v>
      </c>
      <c r="I26" s="28">
        <f>$E$14</f>
        <v>512.74734101176762</v>
      </c>
      <c r="J26" s="1">
        <f t="shared" si="1"/>
        <v>339.70363250366825</v>
      </c>
      <c r="K26" s="34">
        <f>H25*$E$9</f>
        <v>173.04370850809937</v>
      </c>
      <c r="Q26" s="4">
        <v>20</v>
      </c>
      <c r="R26" s="26">
        <f t="shared" si="2"/>
        <v>8942.3523931154468</v>
      </c>
      <c r="S26" s="1">
        <f>$O$11</f>
        <v>132.15073688176165</v>
      </c>
      <c r="T26" s="1">
        <f t="shared" si="3"/>
        <v>57.154843245421077</v>
      </c>
      <c r="U26" s="6">
        <f>R25*$O$8</f>
        <v>74.995893636340568</v>
      </c>
    </row>
    <row r="27" spans="4:21">
      <c r="G27" s="33">
        <v>21</v>
      </c>
      <c r="H27" s="2">
        <f t="shared" si="0"/>
        <v>25274.884320324207</v>
      </c>
      <c r="I27" s="28">
        <f>$E$14</f>
        <v>512.74734101176762</v>
      </c>
      <c r="J27" s="1">
        <f t="shared" si="1"/>
        <v>341.96832338702603</v>
      </c>
      <c r="K27" s="34">
        <f>H26*$E$9</f>
        <v>170.77901762474158</v>
      </c>
      <c r="Q27" s="4">
        <v>21</v>
      </c>
      <c r="R27" s="26">
        <f t="shared" si="2"/>
        <v>8884.721259509648</v>
      </c>
      <c r="S27" s="1">
        <f>$O$11</f>
        <v>132.15073688176165</v>
      </c>
      <c r="T27" s="1">
        <f t="shared" si="3"/>
        <v>57.63113360579959</v>
      </c>
      <c r="U27" s="6">
        <f>R26*$O$8</f>
        <v>74.519603275962055</v>
      </c>
    </row>
    <row r="28" spans="4:21">
      <c r="G28" s="33">
        <v>22</v>
      </c>
      <c r="H28" s="2">
        <f t="shared" si="0"/>
        <v>24930.6362081146</v>
      </c>
      <c r="I28" s="28">
        <f>$E$14</f>
        <v>512.74734101176762</v>
      </c>
      <c r="J28" s="1">
        <f t="shared" si="1"/>
        <v>344.24811220960623</v>
      </c>
      <c r="K28" s="34">
        <f>H27*$E$9</f>
        <v>168.49922880216138</v>
      </c>
      <c r="Q28" s="4">
        <v>22</v>
      </c>
      <c r="R28" s="26">
        <f t="shared" si="2"/>
        <v>8826.6098664571327</v>
      </c>
      <c r="S28" s="1">
        <f>$O$11</f>
        <v>132.15073688176165</v>
      </c>
      <c r="T28" s="1">
        <f t="shared" si="3"/>
        <v>58.111393052514586</v>
      </c>
      <c r="U28" s="6">
        <f>R27*$O$8</f>
        <v>74.039343829247059</v>
      </c>
    </row>
    <row r="29" spans="4:21">
      <c r="G29" s="33">
        <v>23</v>
      </c>
      <c r="H29" s="2">
        <f t="shared" si="0"/>
        <v>24584.093108490262</v>
      </c>
      <c r="I29" s="28">
        <f>$E$14</f>
        <v>512.74734101176762</v>
      </c>
      <c r="J29" s="1">
        <f t="shared" si="1"/>
        <v>346.54309962433695</v>
      </c>
      <c r="K29" s="34">
        <f>H28*$E$9</f>
        <v>166.20424138743067</v>
      </c>
      <c r="Q29" s="4">
        <v>23</v>
      </c>
      <c r="R29" s="26">
        <f t="shared" si="2"/>
        <v>8768.0142117958476</v>
      </c>
      <c r="S29" s="1">
        <f>$O$11</f>
        <v>132.15073688176165</v>
      </c>
      <c r="T29" s="1">
        <f t="shared" si="3"/>
        <v>58.595654661285536</v>
      </c>
      <c r="U29" s="6">
        <f>R28*$O$8</f>
        <v>73.555082220476109</v>
      </c>
    </row>
    <row r="30" spans="4:21">
      <c r="G30" s="33">
        <v>24</v>
      </c>
      <c r="H30" s="2">
        <f t="shared" si="0"/>
        <v>24235.239721535097</v>
      </c>
      <c r="I30" s="28">
        <f>$E$14</f>
        <v>512.74734101176762</v>
      </c>
      <c r="J30" s="1">
        <f t="shared" si="1"/>
        <v>348.85338695516589</v>
      </c>
      <c r="K30" s="34">
        <f>H29*$E$9</f>
        <v>163.89395405660176</v>
      </c>
      <c r="Q30" s="4">
        <v>24</v>
      </c>
      <c r="R30" s="26">
        <f t="shared" si="2"/>
        <v>8708.9302600123847</v>
      </c>
      <c r="S30" s="1">
        <f>$O$11</f>
        <v>132.15073688176165</v>
      </c>
      <c r="T30" s="1">
        <f t="shared" si="3"/>
        <v>59.083951783462922</v>
      </c>
      <c r="U30" s="6">
        <f>R29*$O$8</f>
        <v>73.066785098298723</v>
      </c>
    </row>
    <row r="31" spans="4:21">
      <c r="G31" s="33">
        <v>25</v>
      </c>
      <c r="H31" s="2">
        <f t="shared" si="0"/>
        <v>23884.060645333564</v>
      </c>
      <c r="I31" s="28">
        <f>$E$14</f>
        <v>512.74734101176762</v>
      </c>
      <c r="J31" s="1">
        <f t="shared" si="1"/>
        <v>351.17907620153363</v>
      </c>
      <c r="K31" s="34">
        <f>H30*$E$9</f>
        <v>161.56826481023398</v>
      </c>
      <c r="Q31" s="4">
        <v>25</v>
      </c>
      <c r="R31" s="26">
        <f t="shared" si="2"/>
        <v>8649.3539419640601</v>
      </c>
      <c r="S31" s="1">
        <f>$O$11</f>
        <v>132.15073688176165</v>
      </c>
      <c r="T31" s="1">
        <f t="shared" si="3"/>
        <v>59.576318048325106</v>
      </c>
      <c r="U31" s="6">
        <f>R30*$O$8</f>
        <v>72.574418833436539</v>
      </c>
    </row>
    <row r="32" spans="4:21">
      <c r="G32" s="33">
        <v>26</v>
      </c>
      <c r="H32" s="2">
        <f t="shared" si="0"/>
        <v>23530.540375290686</v>
      </c>
      <c r="I32" s="28">
        <f>$E$14</f>
        <v>512.74734101176762</v>
      </c>
      <c r="J32" s="1">
        <f t="shared" si="1"/>
        <v>353.5202700428772</v>
      </c>
      <c r="K32" s="34">
        <f>H31*$E$9</f>
        <v>159.22707096889044</v>
      </c>
      <c r="Q32" s="4">
        <v>26</v>
      </c>
      <c r="R32" s="26">
        <f t="shared" si="2"/>
        <v>8589.281154598666</v>
      </c>
      <c r="S32" s="1">
        <f>$O$11</f>
        <v>132.15073688176165</v>
      </c>
      <c r="T32" s="1">
        <f t="shared" si="3"/>
        <v>60.072787365394476</v>
      </c>
      <c r="U32" s="6">
        <f>R31*$O$8</f>
        <v>72.07794951636717</v>
      </c>
    </row>
    <row r="33" spans="5:21">
      <c r="G33" s="33">
        <v>27</v>
      </c>
      <c r="H33" s="2">
        <f t="shared" si="0"/>
        <v>23174.663303447524</v>
      </c>
      <c r="I33" s="28">
        <f>$E$14</f>
        <v>512.74734101176762</v>
      </c>
      <c r="J33" s="1">
        <f t="shared" si="1"/>
        <v>355.87707184316304</v>
      </c>
      <c r="K33" s="34">
        <f>H32*$E$9</f>
        <v>156.87026916860458</v>
      </c>
      <c r="Q33" s="4">
        <v>27</v>
      </c>
      <c r="R33" s="26">
        <f t="shared" si="2"/>
        <v>8528.707760671894</v>
      </c>
      <c r="S33" s="1">
        <f>$O$11</f>
        <v>132.15073688176165</v>
      </c>
      <c r="T33" s="1">
        <f t="shared" si="3"/>
        <v>60.573393926772766</v>
      </c>
      <c r="U33" s="6">
        <f>R32*$O$8</f>
        <v>71.577342954988879</v>
      </c>
    </row>
    <row r="34" spans="5:21">
      <c r="G34" s="33">
        <v>28</v>
      </c>
      <c r="H34" s="2">
        <f t="shared" si="0"/>
        <v>22816.413717792071</v>
      </c>
      <c r="I34" s="28">
        <f>$E$14</f>
        <v>512.74734101176762</v>
      </c>
      <c r="J34" s="1">
        <f t="shared" si="1"/>
        <v>358.2495856554508</v>
      </c>
      <c r="K34" s="34">
        <f>H33*$E$9</f>
        <v>154.49775535631684</v>
      </c>
      <c r="Q34" s="4">
        <v>28</v>
      </c>
      <c r="R34" s="26">
        <f t="shared" si="2"/>
        <v>8467.6295884623978</v>
      </c>
      <c r="S34" s="1">
        <f>$O$11</f>
        <v>132.15073688176165</v>
      </c>
      <c r="T34" s="1">
        <f t="shared" si="3"/>
        <v>61.078172209495861</v>
      </c>
      <c r="U34" s="6">
        <f>R33*$O$8</f>
        <v>71.072564672265784</v>
      </c>
    </row>
    <row r="35" spans="5:21">
      <c r="G35" s="33">
        <v>29</v>
      </c>
      <c r="H35" s="2">
        <f t="shared" si="0"/>
        <v>22455.775801565585</v>
      </c>
      <c r="I35" s="28">
        <f>$E$14</f>
        <v>512.74734101176762</v>
      </c>
      <c r="J35" s="1">
        <f t="shared" si="1"/>
        <v>360.63791622648716</v>
      </c>
      <c r="K35" s="34">
        <f>H34*$E$9</f>
        <v>152.10942478528048</v>
      </c>
      <c r="Q35" s="4">
        <v>29</v>
      </c>
      <c r="R35" s="26">
        <f t="shared" si="2"/>
        <v>8406.0424314844895</v>
      </c>
      <c r="S35" s="1">
        <f>$O$11</f>
        <v>132.15073688176165</v>
      </c>
      <c r="T35" s="1">
        <f t="shared" si="3"/>
        <v>61.587156977908336</v>
      </c>
      <c r="U35" s="6">
        <f>R34*$O$8</f>
        <v>70.563579903853309</v>
      </c>
    </row>
    <row r="36" spans="5:21">
      <c r="E36" s="2"/>
      <c r="G36" s="33">
        <v>30</v>
      </c>
      <c r="H36" s="2">
        <f t="shared" si="0"/>
        <v>22092.733632564254</v>
      </c>
      <c r="I36" s="28">
        <f>$E$14</f>
        <v>512.74734101176762</v>
      </c>
      <c r="J36" s="1">
        <f t="shared" si="1"/>
        <v>363.04216900133036</v>
      </c>
      <c r="K36" s="34">
        <f>H35*$E$9</f>
        <v>149.70517201043725</v>
      </c>
      <c r="Q36" s="4">
        <v>30</v>
      </c>
      <c r="R36" s="26">
        <f t="shared" si="2"/>
        <v>8343.9420481984325</v>
      </c>
      <c r="S36" s="1">
        <f>$O$11</f>
        <v>132.15073688176165</v>
      </c>
      <c r="T36" s="1">
        <f t="shared" si="3"/>
        <v>62.100383286057564</v>
      </c>
      <c r="U36" s="6">
        <f>R35*$O$8</f>
        <v>70.050353595704081</v>
      </c>
    </row>
    <row r="37" spans="5:21">
      <c r="G37" s="33">
        <v>31</v>
      </c>
      <c r="H37" s="2">
        <f t="shared" si="0"/>
        <v>21727.271182436249</v>
      </c>
      <c r="I37" s="28">
        <f>$E$14</f>
        <v>512.74734101176762</v>
      </c>
      <c r="J37" s="1">
        <f t="shared" si="1"/>
        <v>365.46245012800591</v>
      </c>
      <c r="K37" s="34">
        <f>H36*$E$9</f>
        <v>147.2848908837617</v>
      </c>
      <c r="Q37" s="4">
        <v>31</v>
      </c>
      <c r="R37" s="26">
        <f t="shared" si="2"/>
        <v>8281.3241617183248</v>
      </c>
      <c r="S37" s="1">
        <f>$O$11</f>
        <v>132.15073688176165</v>
      </c>
      <c r="T37" s="1">
        <f t="shared" si="3"/>
        <v>62.617886480108041</v>
      </c>
      <c r="U37" s="6">
        <f>R36*$O$8</f>
        <v>69.532850401653604</v>
      </c>
    </row>
    <row r="38" spans="5:21">
      <c r="G38" s="33">
        <v>32</v>
      </c>
      <c r="H38" s="2">
        <f t="shared" si="0"/>
        <v>21359.372315974055</v>
      </c>
      <c r="I38" s="28">
        <f>$E$14</f>
        <v>512.74734101176762</v>
      </c>
      <c r="J38" s="1">
        <f t="shared" si="1"/>
        <v>367.89886646219259</v>
      </c>
      <c r="K38" s="34">
        <f>H37*$E$9</f>
        <v>144.848474549575</v>
      </c>
      <c r="Q38" s="4">
        <v>32</v>
      </c>
      <c r="R38" s="26">
        <f t="shared" si="2"/>
        <v>8218.1844595175498</v>
      </c>
      <c r="S38" s="1">
        <f>$O$11</f>
        <v>132.15073688176165</v>
      </c>
      <c r="T38" s="1">
        <f t="shared" si="3"/>
        <v>63.139702200775602</v>
      </c>
      <c r="U38" s="6">
        <f>R37*$O$8</f>
        <v>69.011034680986043</v>
      </c>
    </row>
    <row r="39" spans="5:21">
      <c r="G39" s="33">
        <v>33</v>
      </c>
      <c r="H39" s="2">
        <f t="shared" si="0"/>
        <v>20989.020790402115</v>
      </c>
      <c r="I39" s="28">
        <f>$E$14</f>
        <v>512.74734101176762</v>
      </c>
      <c r="J39" s="1">
        <f t="shared" si="1"/>
        <v>370.35152557194056</v>
      </c>
      <c r="K39" s="34">
        <f>H38*$E$9</f>
        <v>142.39581543982703</v>
      </c>
      <c r="Q39" s="4">
        <v>33</v>
      </c>
      <c r="R39" s="26">
        <f t="shared" si="2"/>
        <v>8154.5185931317674</v>
      </c>
      <c r="S39" s="1">
        <f>$O$11</f>
        <v>132.15073688176165</v>
      </c>
      <c r="T39" s="1">
        <f t="shared" si="3"/>
        <v>63.665866385782067</v>
      </c>
      <c r="U39" s="6">
        <f>R38*$O$8</f>
        <v>68.484870495979578</v>
      </c>
    </row>
    <row r="40" spans="5:21">
      <c r="G40" s="33">
        <v>34</v>
      </c>
      <c r="H40" s="2">
        <f t="shared" si="0"/>
        <v>20616.200254659696</v>
      </c>
      <c r="I40" s="28">
        <f>$E$14</f>
        <v>512.74734101176762</v>
      </c>
      <c r="J40" s="1">
        <f t="shared" si="1"/>
        <v>372.82053574242013</v>
      </c>
      <c r="K40" s="34">
        <f>H39*$E$9</f>
        <v>139.92680526934745</v>
      </c>
      <c r="Q40" s="4">
        <v>34</v>
      </c>
      <c r="R40" s="26">
        <f t="shared" si="2"/>
        <v>8090.322177859437</v>
      </c>
      <c r="S40" s="1">
        <f>$O$11</f>
        <v>132.15073688176165</v>
      </c>
      <c r="T40" s="1">
        <f t="shared" si="3"/>
        <v>64.196415272330256</v>
      </c>
      <c r="U40" s="6">
        <f>R39*$O$8</f>
        <v>67.954321609431389</v>
      </c>
    </row>
    <row r="41" spans="5:21">
      <c r="G41" s="33">
        <v>35</v>
      </c>
      <c r="H41" s="2">
        <f t="shared" si="0"/>
        <v>20240.894248678993</v>
      </c>
      <c r="I41" s="28">
        <f>$E$14</f>
        <v>512.74734101176762</v>
      </c>
      <c r="J41" s="1">
        <f t="shared" si="1"/>
        <v>375.30600598070293</v>
      </c>
      <c r="K41" s="34">
        <f>H40*$E$9</f>
        <v>137.44133503106465</v>
      </c>
      <c r="Q41" s="4">
        <v>35</v>
      </c>
      <c r="R41" s="26">
        <f t="shared" si="2"/>
        <v>8025.5907924598378</v>
      </c>
      <c r="S41" s="1">
        <f>$O$11</f>
        <v>132.15073688176165</v>
      </c>
      <c r="T41" s="1">
        <f t="shared" si="3"/>
        <v>64.731385399599674</v>
      </c>
      <c r="U41" s="6">
        <f>R40*$O$8</f>
        <v>67.419351482161971</v>
      </c>
    </row>
    <row r="42" spans="5:21">
      <c r="G42" s="33">
        <v>36</v>
      </c>
      <c r="H42" s="2">
        <f t="shared" si="0"/>
        <v>19863.086202658418</v>
      </c>
      <c r="I42" s="28">
        <f>$E$14</f>
        <v>512.74734101176762</v>
      </c>
      <c r="J42" s="1">
        <f t="shared" si="1"/>
        <v>377.80804602057435</v>
      </c>
      <c r="K42" s="34">
        <f>H41*$E$9</f>
        <v>134.93929499119329</v>
      </c>
      <c r="Q42" s="4">
        <v>36</v>
      </c>
      <c r="R42" s="26">
        <f t="shared" si="2"/>
        <v>7960.3199788485745</v>
      </c>
      <c r="S42" s="1">
        <f>$O$11</f>
        <v>132.15073688176165</v>
      </c>
      <c r="T42" s="1">
        <f t="shared" si="3"/>
        <v>65.270813611262994</v>
      </c>
      <c r="U42" s="6">
        <f>R41*$O$8</f>
        <v>66.879923270498651</v>
      </c>
    </row>
    <row r="43" spans="5:21">
      <c r="G43" s="33">
        <v>37</v>
      </c>
      <c r="H43" s="2">
        <f t="shared" si="0"/>
        <v>19482.759436331042</v>
      </c>
      <c r="I43" s="28">
        <f>$E$14</f>
        <v>512.74734101176762</v>
      </c>
      <c r="J43" s="1">
        <f t="shared" si="1"/>
        <v>380.32676632737815</v>
      </c>
      <c r="K43" s="34">
        <f>H42*$E$9</f>
        <v>132.42057468438946</v>
      </c>
      <c r="Q43" s="4">
        <v>37</v>
      </c>
      <c r="R43" s="26">
        <f t="shared" si="2"/>
        <v>7894.5052417905508</v>
      </c>
      <c r="S43" s="1">
        <f>$O$11</f>
        <v>132.15073688176165</v>
      </c>
      <c r="T43" s="1">
        <f t="shared" si="3"/>
        <v>65.814737058023525</v>
      </c>
      <c r="U43" s="6">
        <f>R42*$O$8</f>
        <v>66.335999823738121</v>
      </c>
    </row>
    <row r="44" spans="5:21">
      <c r="G44" s="33">
        <v>38</v>
      </c>
      <c r="H44" s="2">
        <f t="shared" si="0"/>
        <v>19099.897158228148</v>
      </c>
      <c r="I44" s="28">
        <f>$E$14</f>
        <v>512.74734101176762</v>
      </c>
      <c r="J44" s="1">
        <f t="shared" si="1"/>
        <v>382.86227810289404</v>
      </c>
      <c r="K44" s="34">
        <f>H43*$E$9</f>
        <v>129.88506290887361</v>
      </c>
      <c r="Q44" s="4">
        <v>38</v>
      </c>
      <c r="R44" s="26">
        <f t="shared" si="2"/>
        <v>7828.1420485903773</v>
      </c>
      <c r="S44" s="1">
        <f>$O$11</f>
        <v>132.15073688176165</v>
      </c>
      <c r="T44" s="1">
        <f t="shared" si="3"/>
        <v>66.363193200173725</v>
      </c>
      <c r="U44" s="6">
        <f>R43*$O$8</f>
        <v>65.78754368158792</v>
      </c>
    </row>
    <row r="45" spans="5:21">
      <c r="G45" s="33">
        <v>39</v>
      </c>
      <c r="H45" s="2">
        <f t="shared" si="0"/>
        <v>18714.482464937901</v>
      </c>
      <c r="I45" s="28">
        <f>$E$14</f>
        <v>512.74734101176762</v>
      </c>
      <c r="J45" s="1">
        <f t="shared" si="1"/>
        <v>385.41469329024665</v>
      </c>
      <c r="K45" s="34">
        <f>H44*$E$9</f>
        <v>127.332647721521</v>
      </c>
      <c r="Q45" s="4">
        <v>39</v>
      </c>
      <c r="R45" s="26">
        <f t="shared" si="2"/>
        <v>7761.2258287802024</v>
      </c>
      <c r="S45" s="1">
        <f>$O$11</f>
        <v>132.15073688176165</v>
      </c>
      <c r="T45" s="1">
        <f t="shared" si="3"/>
        <v>66.916219810175164</v>
      </c>
      <c r="U45" s="6">
        <f>R44*$O$8</f>
        <v>65.234517071586481</v>
      </c>
    </row>
    <row r="46" spans="5:21">
      <c r="G46" s="33">
        <v>40</v>
      </c>
      <c r="H46" s="2">
        <f t="shared" si="0"/>
        <v>18326.498340359052</v>
      </c>
      <c r="I46" s="28">
        <f>$E$14</f>
        <v>512.74734101176762</v>
      </c>
      <c r="J46" s="1">
        <f t="shared" si="1"/>
        <v>387.98412457884825</v>
      </c>
      <c r="K46" s="34">
        <f>H45*$E$9</f>
        <v>124.76321643291935</v>
      </c>
      <c r="Q46" s="4">
        <v>40</v>
      </c>
      <c r="R46" s="26">
        <f t="shared" si="2"/>
        <v>7693.7519738049423</v>
      </c>
      <c r="S46" s="1">
        <f>$O$11</f>
        <v>132.15073688176165</v>
      </c>
      <c r="T46" s="1">
        <f t="shared" si="3"/>
        <v>67.473854975259954</v>
      </c>
      <c r="U46" s="6">
        <f>R45*$O$8</f>
        <v>64.676881906501691</v>
      </c>
    </row>
    <row r="47" spans="5:21">
      <c r="G47" s="33">
        <v>41</v>
      </c>
      <c r="H47" s="2">
        <f t="shared" si="0"/>
        <v>17935.927654949679</v>
      </c>
      <c r="I47" s="28">
        <f>$E$14</f>
        <v>512.74734101176762</v>
      </c>
      <c r="J47" s="1">
        <f t="shared" si="1"/>
        <v>390.57068540937394</v>
      </c>
      <c r="K47" s="34">
        <f>H46*$E$9</f>
        <v>122.17665560239369</v>
      </c>
      <c r="Q47" s="4">
        <v>41</v>
      </c>
      <c r="R47" s="26">
        <f t="shared" si="2"/>
        <v>7625.7158367048887</v>
      </c>
      <c r="S47" s="1">
        <f>$O$11</f>
        <v>132.15073688176165</v>
      </c>
      <c r="T47" s="1">
        <f t="shared" si="3"/>
        <v>68.036137100053793</v>
      </c>
      <c r="U47" s="6">
        <f>R46*$O$8</f>
        <v>64.114599781707852</v>
      </c>
    </row>
    <row r="48" spans="5:21">
      <c r="G48" s="33">
        <v>42</v>
      </c>
      <c r="H48" s="2">
        <f t="shared" si="0"/>
        <v>17542.753164970909</v>
      </c>
      <c r="I48" s="28">
        <f>$E$14</f>
        <v>512.74734101176762</v>
      </c>
      <c r="J48" s="1">
        <f t="shared" si="1"/>
        <v>393.17448997876977</v>
      </c>
      <c r="K48" s="34">
        <f>H47*$E$9</f>
        <v>119.57285103299787</v>
      </c>
      <c r="Q48" s="4">
        <v>42</v>
      </c>
      <c r="R48" s="26">
        <f t="shared" si="2"/>
        <v>7557.112731795668</v>
      </c>
      <c r="S48" s="1">
        <f>$O$11</f>
        <v>132.15073688176165</v>
      </c>
      <c r="T48" s="1">
        <f t="shared" si="3"/>
        <v>68.603104909220917</v>
      </c>
      <c r="U48" s="6">
        <f>R47*$O$8</f>
        <v>63.547631972540735</v>
      </c>
    </row>
    <row r="49" spans="7:21">
      <c r="G49" s="33">
        <v>43</v>
      </c>
      <c r="H49" s="2">
        <f t="shared" si="0"/>
        <v>17146.957511725614</v>
      </c>
      <c r="I49" s="28">
        <f>$E$14</f>
        <v>512.74734101176762</v>
      </c>
      <c r="J49" s="1">
        <f t="shared" si="1"/>
        <v>395.79565324529489</v>
      </c>
      <c r="K49" s="34">
        <f>H48*$E$9</f>
        <v>116.95168776647273</v>
      </c>
      <c r="Q49" s="4">
        <v>43</v>
      </c>
      <c r="R49" s="26">
        <f t="shared" si="2"/>
        <v>7487.9379343455366</v>
      </c>
      <c r="S49" s="1">
        <f>$O$11</f>
        <v>132.15073688176165</v>
      </c>
      <c r="T49" s="1">
        <f t="shared" si="3"/>
        <v>69.174797450131081</v>
      </c>
      <c r="U49" s="6">
        <f>R48*$O$8</f>
        <v>62.975939431630565</v>
      </c>
    </row>
    <row r="50" spans="7:21">
      <c r="G50" s="33">
        <v>44</v>
      </c>
      <c r="H50" s="2">
        <f t="shared" si="0"/>
        <v>16748.523220792016</v>
      </c>
      <c r="I50" s="28">
        <f>$E$14</f>
        <v>512.74734101176762</v>
      </c>
      <c r="J50" s="1">
        <f t="shared" si="1"/>
        <v>398.43429093359686</v>
      </c>
      <c r="K50" s="34">
        <f>H49*$E$9</f>
        <v>114.31305007817076</v>
      </c>
      <c r="Q50" s="4">
        <v>44</v>
      </c>
      <c r="R50" s="26">
        <f t="shared" si="2"/>
        <v>7418.1866802499881</v>
      </c>
      <c r="S50" s="1">
        <f>$O$11</f>
        <v>132.15073688176165</v>
      </c>
      <c r="T50" s="1">
        <f t="shared" si="3"/>
        <v>69.75125409554883</v>
      </c>
      <c r="U50" s="6">
        <f>R49*$O$8</f>
        <v>62.399482786212808</v>
      </c>
    </row>
    <row r="51" spans="7:21">
      <c r="G51" s="33">
        <v>45</v>
      </c>
      <c r="H51" s="2">
        <f t="shared" si="0"/>
        <v>16347.432701252195</v>
      </c>
      <c r="I51" s="28">
        <f>$E$14</f>
        <v>512.74734101176762</v>
      </c>
      <c r="J51" s="1">
        <f t="shared" si="1"/>
        <v>401.09051953982083</v>
      </c>
      <c r="K51" s="34">
        <f>H50*$E$9</f>
        <v>111.65682147194678</v>
      </c>
      <c r="Q51" s="4">
        <v>45</v>
      </c>
      <c r="R51" s="26">
        <f t="shared" si="2"/>
        <v>7347.854165703643</v>
      </c>
      <c r="S51" s="1">
        <f>$O$11</f>
        <v>132.15073688176165</v>
      </c>
      <c r="T51" s="1">
        <f t="shared" si="3"/>
        <v>70.332514546345081</v>
      </c>
      <c r="U51" s="6">
        <f>R50*$O$8</f>
        <v>61.818222335416564</v>
      </c>
    </row>
    <row r="52" spans="7:21">
      <c r="G52" s="33">
        <v>46</v>
      </c>
      <c r="H52" s="2">
        <f t="shared" si="0"/>
        <v>15943.668244915443</v>
      </c>
      <c r="I52" s="28">
        <f>$E$14</f>
        <v>512.74734101176762</v>
      </c>
      <c r="J52" s="1">
        <f t="shared" si="1"/>
        <v>403.76445633675297</v>
      </c>
      <c r="K52" s="34">
        <f>H51*$E$9</f>
        <v>108.98288467501465</v>
      </c>
      <c r="Q52" s="4">
        <v>46</v>
      </c>
      <c r="R52" s="26">
        <f t="shared" si="2"/>
        <v>7276.9355468694121</v>
      </c>
      <c r="S52" s="1">
        <f>$O$11</f>
        <v>132.15073688176165</v>
      </c>
      <c r="T52" s="1">
        <f t="shared" si="3"/>
        <v>70.918618834231296</v>
      </c>
      <c r="U52" s="6">
        <f>R51*$O$8</f>
        <v>61.232118047530356</v>
      </c>
    </row>
    <row r="53" spans="7:21">
      <c r="G53" s="33">
        <v>47</v>
      </c>
      <c r="H53" s="2">
        <f t="shared" si="0"/>
        <v>15537.212025536446</v>
      </c>
      <c r="I53" s="28">
        <f>$E$14</f>
        <v>512.74734101176762</v>
      </c>
      <c r="J53" s="1">
        <f t="shared" si="1"/>
        <v>406.45621937899796</v>
      </c>
      <c r="K53" s="34">
        <f>H52*$E$9</f>
        <v>106.29112163276963</v>
      </c>
      <c r="Q53" s="4">
        <v>47</v>
      </c>
      <c r="R53" s="26">
        <f t="shared" si="2"/>
        <v>7205.4259395448953</v>
      </c>
      <c r="S53" s="1">
        <f>$O$11</f>
        <v>132.15073688176165</v>
      </c>
      <c r="T53" s="1">
        <f t="shared" si="3"/>
        <v>71.509607324516537</v>
      </c>
      <c r="U53" s="6">
        <f>R52*$O$8</f>
        <v>60.641129557245101</v>
      </c>
    </row>
    <row r="54" spans="7:21">
      <c r="G54" s="33">
        <v>48</v>
      </c>
      <c r="H54" s="2">
        <f t="shared" si="0"/>
        <v>15128.046098028255</v>
      </c>
      <c r="I54" s="28">
        <f>$E$14</f>
        <v>512.74734101176762</v>
      </c>
      <c r="J54" s="1">
        <f t="shared" si="1"/>
        <v>409.16592750819132</v>
      </c>
      <c r="K54" s="34">
        <f>H53*$E$9</f>
        <v>103.58141350357631</v>
      </c>
      <c r="Q54" s="4">
        <v>48</v>
      </c>
      <c r="R54" s="26">
        <f t="shared" si="2"/>
        <v>7133.3204188260079</v>
      </c>
      <c r="S54" s="1">
        <f>$O$11</f>
        <v>132.15073688176165</v>
      </c>
      <c r="T54" s="1">
        <f t="shared" si="3"/>
        <v>72.105520718887519</v>
      </c>
      <c r="U54" s="6">
        <f>R53*$O$8</f>
        <v>60.045216162874127</v>
      </c>
    </row>
    <row r="55" spans="7:21">
      <c r="G55" s="33">
        <v>49</v>
      </c>
      <c r="H55" s="2">
        <f t="shared" si="0"/>
        <v>14716.15239767001</v>
      </c>
      <c r="I55" s="28">
        <f>$E$14</f>
        <v>512.74734101176762</v>
      </c>
      <c r="J55" s="1">
        <f t="shared" si="1"/>
        <v>411.89370035824589</v>
      </c>
      <c r="K55" s="34">
        <f>H54*$E$9</f>
        <v>100.85364065352171</v>
      </c>
      <c r="Q55" s="4">
        <v>49</v>
      </c>
      <c r="R55" s="26">
        <f t="shared" si="2"/>
        <v>7060.6140187677966</v>
      </c>
      <c r="S55" s="1">
        <f>$O$11</f>
        <v>132.15073688176165</v>
      </c>
      <c r="T55" s="1">
        <f t="shared" si="3"/>
        <v>72.706400058211585</v>
      </c>
      <c r="U55" s="6">
        <f>R54*$O$8</f>
        <v>59.444336823550067</v>
      </c>
    </row>
    <row r="56" spans="7:21">
      <c r="G56" s="33">
        <v>50</v>
      </c>
      <c r="H56" s="2">
        <f t="shared" si="0"/>
        <v>14301.512739309375</v>
      </c>
      <c r="I56" s="28">
        <f>$E$14</f>
        <v>512.74734101176762</v>
      </c>
      <c r="J56" s="1">
        <f t="shared" si="1"/>
        <v>414.6396583606342</v>
      </c>
      <c r="K56" s="34">
        <f>H55*$E$9</f>
        <v>98.107682651133402</v>
      </c>
      <c r="Q56" s="4">
        <v>50</v>
      </c>
      <c r="R56" s="26">
        <f t="shared" si="2"/>
        <v>6987.3017320424333</v>
      </c>
      <c r="S56" s="1">
        <f>$O$11</f>
        <v>132.15073688176165</v>
      </c>
      <c r="T56" s="1">
        <f t="shared" si="3"/>
        <v>73.31228672536335</v>
      </c>
      <c r="U56" s="6">
        <f>R55*$O$8</f>
        <v>58.838450156398302</v>
      </c>
    </row>
    <row r="57" spans="7:21">
      <c r="G57" s="33">
        <v>51</v>
      </c>
      <c r="H57" s="2">
        <f t="shared" si="0"/>
        <v>13884.10881655967</v>
      </c>
      <c r="I57" s="28">
        <f>$E$14</f>
        <v>512.74734101176762</v>
      </c>
      <c r="J57" s="1">
        <f t="shared" si="1"/>
        <v>417.40392274970509</v>
      </c>
      <c r="K57" s="34">
        <f>H56*$E$9</f>
        <v>95.343418262062514</v>
      </c>
      <c r="Q57" s="4">
        <v>51</v>
      </c>
      <c r="R57" s="26">
        <f t="shared" si="2"/>
        <v>6913.3785095943585</v>
      </c>
      <c r="S57" s="1">
        <f>$O$11</f>
        <v>132.15073688176165</v>
      </c>
      <c r="T57" s="1">
        <f t="shared" si="3"/>
        <v>73.923222448074711</v>
      </c>
      <c r="U57" s="6">
        <f>R56*$O$8</f>
        <v>58.227514433686942</v>
      </c>
    </row>
    <row r="58" spans="7:21">
      <c r="G58" s="33">
        <v>52</v>
      </c>
      <c r="H58" s="2">
        <f t="shared" si="0"/>
        <v>13463.922200991634</v>
      </c>
      <c r="I58" s="28">
        <f>$E$14</f>
        <v>512.74734101176762</v>
      </c>
      <c r="J58" s="1">
        <f t="shared" si="1"/>
        <v>420.18661556803647</v>
      </c>
      <c r="K58" s="34">
        <f>H57*$E$9</f>
        <v>92.560725443731144</v>
      </c>
      <c r="Q58" s="4">
        <v>52</v>
      </c>
      <c r="R58" s="26">
        <f t="shared" si="2"/>
        <v>6838.8392602925496</v>
      </c>
      <c r="S58" s="1">
        <f>$O$11</f>
        <v>132.15073688176165</v>
      </c>
      <c r="T58" s="1">
        <f t="shared" si="3"/>
        <v>74.539249301808667</v>
      </c>
      <c r="U58" s="6">
        <f>R57*$O$8</f>
        <v>57.611487579952986</v>
      </c>
    </row>
    <row r="59" spans="7:21">
      <c r="G59" s="33">
        <v>53</v>
      </c>
      <c r="H59" s="2">
        <f t="shared" si="0"/>
        <v>13040.934341319811</v>
      </c>
      <c r="I59" s="28">
        <f>$E$14</f>
        <v>512.74734101176762</v>
      </c>
      <c r="J59" s="1">
        <f t="shared" si="1"/>
        <v>422.9878596718234</v>
      </c>
      <c r="K59" s="34">
        <f>H58*$E$9</f>
        <v>89.75948133994423</v>
      </c>
      <c r="Q59" s="4">
        <v>53</v>
      </c>
      <c r="R59" s="26">
        <f t="shared" si="2"/>
        <v>6763.6788505798922</v>
      </c>
      <c r="S59" s="1">
        <f>$O$11</f>
        <v>132.15073688176165</v>
      </c>
      <c r="T59" s="1">
        <f t="shared" si="3"/>
        <v>75.160409712657071</v>
      </c>
      <c r="U59" s="6">
        <f>R58*$O$8</f>
        <v>56.990327169104582</v>
      </c>
    </row>
    <row r="60" spans="7:21">
      <c r="G60" s="33">
        <v>54</v>
      </c>
      <c r="H60" s="2">
        <f t="shared" si="0"/>
        <v>12615.126562583509</v>
      </c>
      <c r="I60" s="28">
        <f>$E$14</f>
        <v>512.74734101176762</v>
      </c>
      <c r="J60" s="1">
        <f t="shared" si="1"/>
        <v>425.80777873630223</v>
      </c>
      <c r="K60" s="34">
        <f>H59*$E$9</f>
        <v>86.93956227546542</v>
      </c>
      <c r="Q60" s="4">
        <v>54</v>
      </c>
      <c r="R60" s="26">
        <f t="shared" si="2"/>
        <v>6687.8921041196299</v>
      </c>
      <c r="S60" s="1">
        <f>$O$11</f>
        <v>132.15073688176165</v>
      </c>
      <c r="T60" s="1">
        <f t="shared" si="3"/>
        <v>75.786746460262549</v>
      </c>
      <c r="U60" s="6">
        <f>R59*$O$8</f>
        <v>56.363990421499103</v>
      </c>
    </row>
    <row r="61" spans="7:21">
      <c r="G61" s="33">
        <v>55</v>
      </c>
      <c r="H61" s="2">
        <f t="shared" si="0"/>
        <v>12186.480065322299</v>
      </c>
      <c r="I61" s="28">
        <f>$E$14</f>
        <v>512.74734101176762</v>
      </c>
      <c r="J61" s="1">
        <f t="shared" si="1"/>
        <v>428.64649726121087</v>
      </c>
      <c r="K61" s="34">
        <f>H60*$E$9</f>
        <v>84.100843750556734</v>
      </c>
      <c r="Q61" s="4">
        <v>55</v>
      </c>
      <c r="R61" s="26">
        <f t="shared" si="2"/>
        <v>6611.4738014388649</v>
      </c>
      <c r="S61" s="1">
        <f>$O$11</f>
        <v>132.15073688176165</v>
      </c>
      <c r="T61" s="1">
        <f t="shared" si="3"/>
        <v>76.418302680764725</v>
      </c>
      <c r="U61" s="6">
        <f>R60*$O$8</f>
        <v>55.732434200996913</v>
      </c>
    </row>
    <row r="62" spans="7:21">
      <c r="G62" s="33">
        <v>56</v>
      </c>
      <c r="H62" s="2">
        <f t="shared" si="0"/>
        <v>11754.975924746013</v>
      </c>
      <c r="I62" s="28">
        <f>$E$14</f>
        <v>512.74734101176762</v>
      </c>
      <c r="J62" s="1">
        <f t="shared" si="1"/>
        <v>431.50414057628564</v>
      </c>
      <c r="K62" s="34">
        <f>H61*$E$9</f>
        <v>81.243200435481995</v>
      </c>
      <c r="Q62" s="4">
        <v>56</v>
      </c>
      <c r="R62" s="26">
        <f t="shared" si="2"/>
        <v>6534.4186795690939</v>
      </c>
      <c r="S62" s="1">
        <f>$O$11</f>
        <v>132.15073688176165</v>
      </c>
      <c r="T62" s="1">
        <f t="shared" si="3"/>
        <v>77.055121869771114</v>
      </c>
      <c r="U62" s="6">
        <f>R61*$O$8</f>
        <v>55.095615011990539</v>
      </c>
    </row>
    <row r="63" spans="7:21">
      <c r="G63" s="33">
        <v>57</v>
      </c>
      <c r="H63" s="2">
        <f t="shared" si="0"/>
        <v>11320.59508989922</v>
      </c>
      <c r="I63" s="28">
        <f>$E$14</f>
        <v>512.74734101176762</v>
      </c>
      <c r="J63" s="1">
        <f t="shared" si="1"/>
        <v>434.38083484679419</v>
      </c>
      <c r="K63" s="34">
        <f>H62*$E$9</f>
        <v>78.36650616497343</v>
      </c>
      <c r="Q63" s="4">
        <v>57</v>
      </c>
      <c r="R63" s="26">
        <f t="shared" si="2"/>
        <v>6456.7214316837417</v>
      </c>
      <c r="S63" s="1">
        <f>$O$11</f>
        <v>132.15073688176165</v>
      </c>
      <c r="T63" s="1">
        <f t="shared" si="3"/>
        <v>77.697247885352539</v>
      </c>
      <c r="U63" s="6">
        <f>R62*$O$8</f>
        <v>54.453488996409114</v>
      </c>
    </row>
    <row r="64" spans="7:21">
      <c r="G64" s="33">
        <v>58</v>
      </c>
      <c r="H64" s="2">
        <f t="shared" si="0"/>
        <v>10883.318382820113</v>
      </c>
      <c r="I64" s="28">
        <f>$E$14</f>
        <v>512.74734101176762</v>
      </c>
      <c r="J64" s="1">
        <f t="shared" si="1"/>
        <v>437.27670707910613</v>
      </c>
      <c r="K64" s="34">
        <f>H63*$E$9</f>
        <v>75.470633932661471</v>
      </c>
      <c r="Q64" s="4">
        <v>58</v>
      </c>
      <c r="R64" s="26">
        <f t="shared" si="2"/>
        <v>6378.376706732678</v>
      </c>
      <c r="S64" s="1">
        <f>$O$11</f>
        <v>132.15073688176165</v>
      </c>
      <c r="T64" s="1">
        <f t="shared" si="3"/>
        <v>78.344724951063796</v>
      </c>
      <c r="U64" s="6">
        <f>R63*$O$8</f>
        <v>53.806011930697849</v>
      </c>
    </row>
    <row r="65" spans="7:21">
      <c r="G65" s="33">
        <v>59</v>
      </c>
      <c r="H65" s="2">
        <f t="shared" si="0"/>
        <v>10443.126497693813</v>
      </c>
      <c r="I65" s="28">
        <f>$E$14</f>
        <v>512.74734101176762</v>
      </c>
      <c r="J65" s="1">
        <f t="shared" si="1"/>
        <v>440.19188512630018</v>
      </c>
      <c r="K65" s="34">
        <f>H64*$E$9</f>
        <v>72.555455885467424</v>
      </c>
      <c r="Q65" s="4">
        <v>59</v>
      </c>
      <c r="R65" s="26">
        <f t="shared" si="2"/>
        <v>6299.3791090736886</v>
      </c>
      <c r="S65" s="1">
        <f>$O$11</f>
        <v>132.15073688176165</v>
      </c>
      <c r="T65" s="1">
        <f t="shared" si="3"/>
        <v>78.997597658989321</v>
      </c>
      <c r="U65" s="6">
        <f>R64*$O$8</f>
        <v>53.153139222772317</v>
      </c>
    </row>
    <row r="66" spans="7:21" ht="15" thickBot="1">
      <c r="G66" s="35">
        <v>60</v>
      </c>
      <c r="H66" s="36">
        <f t="shared" si="0"/>
        <v>10000.000000000004</v>
      </c>
      <c r="I66" s="37">
        <f>$E$14</f>
        <v>512.74734101176762</v>
      </c>
      <c r="J66" s="38">
        <f t="shared" si="1"/>
        <v>443.12649769380886</v>
      </c>
      <c r="K66" s="39">
        <f>H65*$E$9</f>
        <v>69.620843317958759</v>
      </c>
      <c r="Q66" s="4">
        <v>60</v>
      </c>
      <c r="R66" s="26">
        <f t="shared" si="2"/>
        <v>6219.7231981008745</v>
      </c>
      <c r="S66" s="1">
        <f>$O$11</f>
        <v>132.15073688176165</v>
      </c>
      <c r="T66" s="1">
        <f t="shared" si="3"/>
        <v>79.65591097281424</v>
      </c>
      <c r="U66" s="6">
        <f>R65*$O$8</f>
        <v>52.494825908947405</v>
      </c>
    </row>
    <row r="67" spans="7:21">
      <c r="Q67" s="4">
        <v>61</v>
      </c>
      <c r="R67" s="26">
        <f t="shared" si="2"/>
        <v>6139.4034878699531</v>
      </c>
      <c r="S67" s="1">
        <f>$O$11</f>
        <v>132.15073688176165</v>
      </c>
      <c r="T67" s="1">
        <f t="shared" si="3"/>
        <v>80.319710230921032</v>
      </c>
      <c r="U67" s="6">
        <f>R66*$O$8</f>
        <v>51.83102665084062</v>
      </c>
    </row>
    <row r="68" spans="7:21">
      <c r="Q68" s="4">
        <v>62</v>
      </c>
      <c r="R68" s="26">
        <f t="shared" si="2"/>
        <v>6058.4144467204414</v>
      </c>
      <c r="S68" s="1">
        <f>$O$11</f>
        <v>132.15073688176165</v>
      </c>
      <c r="T68" s="1">
        <f t="shared" si="3"/>
        <v>80.989041149512033</v>
      </c>
      <c r="U68" s="6">
        <f>R67*$O$8</f>
        <v>51.161695732249612</v>
      </c>
    </row>
    <row r="69" spans="7:21">
      <c r="Q69" s="4">
        <v>63</v>
      </c>
      <c r="R69" s="26">
        <f t="shared" si="2"/>
        <v>5976.7504968946832</v>
      </c>
      <c r="S69" s="1">
        <f>$O$11</f>
        <v>132.15073688176165</v>
      </c>
      <c r="T69" s="1">
        <f t="shared" si="3"/>
        <v>81.663949825757967</v>
      </c>
      <c r="U69" s="6">
        <f>R68*$O$8</f>
        <v>50.486787056003678</v>
      </c>
    </row>
    <row r="70" spans="7:21">
      <c r="Q70" s="4">
        <v>64</v>
      </c>
      <c r="R70" s="26">
        <f t="shared" si="2"/>
        <v>5894.4060141537102</v>
      </c>
      <c r="S70" s="1">
        <f>$O$11</f>
        <v>132.15073688176165</v>
      </c>
      <c r="T70" s="1">
        <f t="shared" si="3"/>
        <v>82.344482740972609</v>
      </c>
      <c r="U70" s="6">
        <f>R69*$O$8</f>
        <v>49.806254140789029</v>
      </c>
    </row>
    <row r="71" spans="7:21">
      <c r="Q71" s="4">
        <v>65</v>
      </c>
      <c r="R71" s="26">
        <f t="shared" si="2"/>
        <v>5811.3753273898965</v>
      </c>
      <c r="S71" s="1">
        <f>$O$11</f>
        <v>132.15073688176165</v>
      </c>
      <c r="T71" s="1">
        <f t="shared" si="3"/>
        <v>83.03068676381406</v>
      </c>
      <c r="U71" s="6">
        <f>R70*$O$8</f>
        <v>49.120050117947585</v>
      </c>
    </row>
    <row r="72" spans="7:21">
      <c r="Q72" s="4">
        <v>66</v>
      </c>
      <c r="R72" s="26">
        <f t="shared" ref="R72:R103" si="4">R71-T72</f>
        <v>5727.6527182363843</v>
      </c>
      <c r="S72" s="1">
        <f>$O$11</f>
        <v>132.15073688176165</v>
      </c>
      <c r="T72" s="1">
        <f t="shared" ref="T72:T103" si="5">S72-U72</f>
        <v>83.722609153512508</v>
      </c>
      <c r="U72" s="6">
        <f>R71*$O$8</f>
        <v>48.428127728249137</v>
      </c>
    </row>
    <row r="73" spans="7:21">
      <c r="Q73" s="4">
        <v>67</v>
      </c>
      <c r="R73" s="26">
        <f t="shared" si="4"/>
        <v>5643.2324206732592</v>
      </c>
      <c r="S73" s="1">
        <f>$O$11</f>
        <v>132.15073688176165</v>
      </c>
      <c r="T73" s="1">
        <f t="shared" si="5"/>
        <v>84.420297563125104</v>
      </c>
      <c r="U73" s="6">
        <f>R72*$O$8</f>
        <v>47.730439318636535</v>
      </c>
    </row>
    <row r="74" spans="7:21">
      <c r="Q74" s="4">
        <v>68</v>
      </c>
      <c r="R74" s="26">
        <f t="shared" si="4"/>
        <v>5558.1086206304417</v>
      </c>
      <c r="S74" s="1">
        <f>$O$11</f>
        <v>132.15073688176165</v>
      </c>
      <c r="T74" s="1">
        <f t="shared" si="5"/>
        <v>85.12380004281782</v>
      </c>
      <c r="U74" s="6">
        <f>R73*$O$8</f>
        <v>47.026936838943826</v>
      </c>
    </row>
    <row r="75" spans="7:21">
      <c r="Q75" s="4">
        <v>69</v>
      </c>
      <c r="R75" s="26">
        <f t="shared" si="4"/>
        <v>5472.2754555872671</v>
      </c>
      <c r="S75" s="1">
        <f>$O$11</f>
        <v>132.15073688176165</v>
      </c>
      <c r="T75" s="1">
        <f t="shared" si="5"/>
        <v>85.833165043174631</v>
      </c>
      <c r="U75" s="6">
        <f>R74*$O$8</f>
        <v>46.317571838587014</v>
      </c>
    </row>
    <row r="76" spans="7:21">
      <c r="Q76" s="4">
        <v>70</v>
      </c>
      <c r="R76" s="26">
        <f t="shared" si="4"/>
        <v>5385.7270141687322</v>
      </c>
      <c r="S76" s="1">
        <f>$O$11</f>
        <v>132.15073688176165</v>
      </c>
      <c r="T76" s="1">
        <f t="shared" si="5"/>
        <v>86.548441418534424</v>
      </c>
      <c r="U76" s="6">
        <f>R75*$O$8</f>
        <v>45.602295463227222</v>
      </c>
    </row>
    <row r="77" spans="7:21">
      <c r="Q77" s="4">
        <v>71</v>
      </c>
      <c r="R77" s="26">
        <f t="shared" si="4"/>
        <v>5298.457335738377</v>
      </c>
      <c r="S77" s="1">
        <f>$O$11</f>
        <v>132.15073688176165</v>
      </c>
      <c r="T77" s="1">
        <f t="shared" si="5"/>
        <v>87.26967843035554</v>
      </c>
      <c r="U77" s="6">
        <f>R76*$O$8</f>
        <v>44.881058451406105</v>
      </c>
    </row>
    <row r="78" spans="7:21">
      <c r="Q78" s="4">
        <v>72</v>
      </c>
      <c r="R78" s="26">
        <f t="shared" si="4"/>
        <v>5210.4604099877688</v>
      </c>
      <c r="S78" s="1">
        <f>$O$11</f>
        <v>132.15073688176165</v>
      </c>
      <c r="T78" s="1">
        <f t="shared" si="5"/>
        <v>87.996925750608511</v>
      </c>
      <c r="U78" s="6">
        <f>R77*$O$8</f>
        <v>44.153811131153141</v>
      </c>
    </row>
    <row r="79" spans="7:21">
      <c r="Q79" s="4">
        <v>73</v>
      </c>
      <c r="R79" s="26">
        <f t="shared" si="4"/>
        <v>5121.730176522572</v>
      </c>
      <c r="S79" s="1">
        <f>$O$11</f>
        <v>132.15073688176165</v>
      </c>
      <c r="T79" s="1">
        <f t="shared" si="5"/>
        <v>88.730233465196903</v>
      </c>
      <c r="U79" s="6">
        <f>R78*$O$8</f>
        <v>43.420503416564742</v>
      </c>
    </row>
    <row r="80" spans="7:21">
      <c r="Q80" s="4">
        <v>74</v>
      </c>
      <c r="R80" s="26">
        <f t="shared" si="4"/>
        <v>5032.2605244451652</v>
      </c>
      <c r="S80" s="1">
        <f>$O$11</f>
        <v>132.15073688176165</v>
      </c>
      <c r="T80" s="1">
        <f t="shared" si="5"/>
        <v>89.469652077406877</v>
      </c>
      <c r="U80" s="6">
        <f>R79*$O$8</f>
        <v>42.681084804354768</v>
      </c>
    </row>
    <row r="81" spans="17:21">
      <c r="Q81" s="4">
        <v>75</v>
      </c>
      <c r="R81" s="26">
        <f t="shared" si="4"/>
        <v>4942.0452919337795</v>
      </c>
      <c r="S81" s="1">
        <f>$O$11</f>
        <v>132.15073688176165</v>
      </c>
      <c r="T81" s="1">
        <f t="shared" si="5"/>
        <v>90.215232511385267</v>
      </c>
      <c r="U81" s="6">
        <f>R80*$O$8</f>
        <v>41.935504370376378</v>
      </c>
    </row>
    <row r="82" spans="17:21">
      <c r="Q82" s="4">
        <v>76</v>
      </c>
      <c r="R82" s="26">
        <f t="shared" si="4"/>
        <v>4851.0782658181324</v>
      </c>
      <c r="S82" s="1">
        <f>$O$11</f>
        <v>132.15073688176165</v>
      </c>
      <c r="T82" s="1">
        <f t="shared" si="5"/>
        <v>90.967026115646817</v>
      </c>
      <c r="U82" s="6">
        <f>R81*$O$8</f>
        <v>41.183710766114828</v>
      </c>
    </row>
    <row r="83" spans="17:21">
      <c r="Q83" s="4">
        <v>77</v>
      </c>
      <c r="R83" s="26">
        <f t="shared" si="4"/>
        <v>4759.3531811515222</v>
      </c>
      <c r="S83" s="1">
        <f>$O$11</f>
        <v>132.15073688176165</v>
      </c>
      <c r="T83" s="1">
        <f t="shared" si="5"/>
        <v>91.725084666610542</v>
      </c>
      <c r="U83" s="6">
        <f>R82*$O$8</f>
        <v>40.425652215151104</v>
      </c>
    </row>
    <row r="84" spans="17:21">
      <c r="Q84" s="4">
        <v>78</v>
      </c>
      <c r="R84" s="26">
        <f t="shared" si="4"/>
        <v>4666.8637207793563</v>
      </c>
      <c r="S84" s="1">
        <f>$O$11</f>
        <v>132.15073688176165</v>
      </c>
      <c r="T84" s="1">
        <f t="shared" si="5"/>
        <v>92.489460372165624</v>
      </c>
      <c r="U84" s="6">
        <f>R83*$O$8</f>
        <v>39.661276509596021</v>
      </c>
    </row>
    <row r="85" spans="17:21">
      <c r="Q85" s="4">
        <v>79</v>
      </c>
      <c r="R85" s="26">
        <f t="shared" si="4"/>
        <v>4573.603514904089</v>
      </c>
      <c r="S85" s="1">
        <f>$O$11</f>
        <v>132.15073688176165</v>
      </c>
      <c r="T85" s="1">
        <f t="shared" si="5"/>
        <v>93.260205875267019</v>
      </c>
      <c r="U85" s="6">
        <f>R84*$O$8</f>
        <v>38.890531006494633</v>
      </c>
    </row>
    <row r="86" spans="17:21">
      <c r="Q86" s="4">
        <v>80</v>
      </c>
      <c r="R86" s="26">
        <f t="shared" si="4"/>
        <v>4479.5661406465279</v>
      </c>
      <c r="S86" s="1">
        <f>$O$11</f>
        <v>132.15073688176165</v>
      </c>
      <c r="T86" s="1">
        <f t="shared" si="5"/>
        <v>94.037374257560913</v>
      </c>
      <c r="U86" s="6">
        <f>R85*$O$8</f>
        <v>38.11336262420074</v>
      </c>
    </row>
    <row r="87" spans="17:21">
      <c r="Q87" s="4">
        <v>81</v>
      </c>
      <c r="R87" s="26">
        <f t="shared" si="4"/>
        <v>4384.745121603487</v>
      </c>
      <c r="S87" s="1">
        <f>$O$11</f>
        <v>132.15073688176165</v>
      </c>
      <c r="T87" s="1">
        <f t="shared" si="5"/>
        <v>94.821019043040579</v>
      </c>
      <c r="U87" s="6">
        <f>R86*$O$8</f>
        <v>37.329717838721066</v>
      </c>
    </row>
    <row r="88" spans="17:21">
      <c r="Q88" s="4">
        <v>82</v>
      </c>
      <c r="R88" s="26">
        <f t="shared" si="4"/>
        <v>4289.1339274017546</v>
      </c>
      <c r="S88" s="1">
        <f>$O$11</f>
        <v>132.15073688176165</v>
      </c>
      <c r="T88" s="1">
        <f t="shared" si="5"/>
        <v>95.611194201732587</v>
      </c>
      <c r="U88" s="6">
        <f>R87*$O$8</f>
        <v>36.539542680029058</v>
      </c>
    </row>
    <row r="89" spans="17:21">
      <c r="Q89" s="4">
        <v>83</v>
      </c>
      <c r="R89" s="26">
        <f t="shared" si="4"/>
        <v>4192.7259732483408</v>
      </c>
      <c r="S89" s="1">
        <f>$O$11</f>
        <v>132.15073688176165</v>
      </c>
      <c r="T89" s="1">
        <f t="shared" si="5"/>
        <v>96.407954153413698</v>
      </c>
      <c r="U89" s="6">
        <f>R88*$O$8</f>
        <v>35.742782728347954</v>
      </c>
    </row>
    <row r="90" spans="17:21">
      <c r="Q90" s="4">
        <v>84</v>
      </c>
      <c r="R90" s="26">
        <f t="shared" si="4"/>
        <v>4095.5146194769818</v>
      </c>
      <c r="S90" s="1">
        <f>$O$11</f>
        <v>132.15073688176165</v>
      </c>
      <c r="T90" s="1">
        <f t="shared" si="5"/>
        <v>97.211353771358802</v>
      </c>
      <c r="U90" s="6">
        <f>R89*$O$8</f>
        <v>34.939383110402837</v>
      </c>
    </row>
    <row r="91" spans="17:21">
      <c r="Q91" s="4">
        <v>85</v>
      </c>
      <c r="R91" s="26">
        <f t="shared" si="4"/>
        <v>3997.4931710908618</v>
      </c>
      <c r="S91" s="1">
        <f>$O$11</f>
        <v>132.15073688176165</v>
      </c>
      <c r="T91" s="1">
        <f t="shared" si="5"/>
        <v>98.021448386120127</v>
      </c>
      <c r="U91" s="6">
        <f>R90*$O$8</f>
        <v>34.129288495641518</v>
      </c>
    </row>
    <row r="92" spans="17:21">
      <c r="Q92" s="4">
        <v>86</v>
      </c>
      <c r="R92" s="26">
        <f t="shared" si="4"/>
        <v>3898.6548773015238</v>
      </c>
      <c r="S92" s="1">
        <f>$O$11</f>
        <v>132.15073688176165</v>
      </c>
      <c r="T92" s="1">
        <f t="shared" si="5"/>
        <v>98.838293789337797</v>
      </c>
      <c r="U92" s="6">
        <f>R91*$O$8</f>
        <v>33.312443092423848</v>
      </c>
    </row>
    <row r="93" spans="17:21">
      <c r="Q93" s="4">
        <v>87</v>
      </c>
      <c r="R93" s="26">
        <f t="shared" si="4"/>
        <v>3798.9929310639413</v>
      </c>
      <c r="S93" s="1">
        <f>$O$11</f>
        <v>132.15073688176165</v>
      </c>
      <c r="T93" s="1">
        <f t="shared" si="5"/>
        <v>99.661946237582271</v>
      </c>
      <c r="U93" s="6">
        <f>R92*$O$8</f>
        <v>32.488790644179367</v>
      </c>
    </row>
    <row r="94" spans="17:21">
      <c r="Q94" s="4">
        <v>88</v>
      </c>
      <c r="R94" s="26">
        <f t="shared" si="4"/>
        <v>3698.5004686077127</v>
      </c>
      <c r="S94" s="1">
        <f>$O$11</f>
        <v>132.15073688176165</v>
      </c>
      <c r="T94" s="1">
        <f t="shared" si="5"/>
        <v>100.49246245622879</v>
      </c>
      <c r="U94" s="6">
        <f>R93*$O$8</f>
        <v>31.658274425532845</v>
      </c>
    </row>
    <row r="95" spans="17:21">
      <c r="Q95" s="4">
        <v>89</v>
      </c>
      <c r="R95" s="26">
        <f t="shared" si="4"/>
        <v>3597.1705689643486</v>
      </c>
      <c r="S95" s="1">
        <f>$O$11</f>
        <v>132.15073688176165</v>
      </c>
      <c r="T95" s="1">
        <f t="shared" si="5"/>
        <v>101.32989964336404</v>
      </c>
      <c r="U95" s="6">
        <f>R94*$O$8</f>
        <v>30.820837238397605</v>
      </c>
    </row>
    <row r="96" spans="17:21">
      <c r="Q96" s="4">
        <v>90</v>
      </c>
      <c r="R96" s="26">
        <f t="shared" si="4"/>
        <v>3494.9962534906231</v>
      </c>
      <c r="S96" s="1">
        <f>$O$11</f>
        <v>132.15073688176165</v>
      </c>
      <c r="T96" s="1">
        <f t="shared" si="5"/>
        <v>102.17431547372541</v>
      </c>
      <c r="U96" s="6">
        <f>R95*$O$8</f>
        <v>29.976421408036238</v>
      </c>
    </row>
    <row r="97" spans="17:21">
      <c r="Q97" s="4">
        <v>91</v>
      </c>
      <c r="R97" s="26">
        <f t="shared" si="4"/>
        <v>3391.9704853879498</v>
      </c>
      <c r="S97" s="1">
        <f>$O$11</f>
        <v>132.15073688176165</v>
      </c>
      <c r="T97" s="1">
        <f t="shared" si="5"/>
        <v>103.02576810267311</v>
      </c>
      <c r="U97" s="6">
        <f>R96*$O$8</f>
        <v>29.124968779088526</v>
      </c>
    </row>
    <row r="98" spans="17:21">
      <c r="Q98" s="4">
        <v>92</v>
      </c>
      <c r="R98" s="26">
        <f t="shared" si="4"/>
        <v>3288.0861692177546</v>
      </c>
      <c r="S98" s="1">
        <f>$O$11</f>
        <v>132.15073688176165</v>
      </c>
      <c r="T98" s="1">
        <f t="shared" si="5"/>
        <v>103.8843161701954</v>
      </c>
      <c r="U98" s="6">
        <f>R97*$O$8</f>
        <v>28.266420711566248</v>
      </c>
    </row>
    <row r="99" spans="17:21">
      <c r="Q99" s="4">
        <v>93</v>
      </c>
      <c r="R99" s="26">
        <f t="shared" si="4"/>
        <v>3183.3361504128075</v>
      </c>
      <c r="S99" s="1">
        <f>$O$11</f>
        <v>132.15073688176165</v>
      </c>
      <c r="T99" s="1">
        <f t="shared" si="5"/>
        <v>104.75001880494702</v>
      </c>
      <c r="U99" s="6">
        <f>R98*$O$8</f>
        <v>27.40071807681462</v>
      </c>
    </row>
    <row r="100" spans="17:21">
      <c r="Q100" s="4">
        <v>94</v>
      </c>
      <c r="R100" s="26">
        <f t="shared" si="4"/>
        <v>3077.7132147844859</v>
      </c>
      <c r="S100" s="1">
        <f>$O$11</f>
        <v>132.15073688176165</v>
      </c>
      <c r="T100" s="1">
        <f t="shared" si="5"/>
        <v>105.62293562832158</v>
      </c>
      <c r="U100" s="6">
        <f>R99*$O$8</f>
        <v>26.52780125344006</v>
      </c>
    </row>
    <row r="101" spans="17:21">
      <c r="Q101" s="4">
        <v>95</v>
      </c>
      <c r="R101" s="26">
        <f t="shared" si="4"/>
        <v>2971.2100880259281</v>
      </c>
      <c r="S101" s="1">
        <f>$O$11</f>
        <v>132.15073688176165</v>
      </c>
      <c r="T101" s="1">
        <f t="shared" si="5"/>
        <v>106.5031267585576</v>
      </c>
      <c r="U101" s="6">
        <f>R100*$O$8</f>
        <v>25.64761012320405</v>
      </c>
    </row>
    <row r="102" spans="17:21">
      <c r="Q102" s="4">
        <v>96</v>
      </c>
      <c r="R102" s="26">
        <f t="shared" si="4"/>
        <v>2863.819435211049</v>
      </c>
      <c r="S102" s="1">
        <f>$O$11</f>
        <v>132.15073688176165</v>
      </c>
      <c r="T102" s="1">
        <f t="shared" si="5"/>
        <v>107.39065281487891</v>
      </c>
      <c r="U102" s="6">
        <f>R101*$O$8</f>
        <v>24.760084066882733</v>
      </c>
    </row>
    <row r="103" spans="17:21">
      <c r="Q103" s="4">
        <v>97</v>
      </c>
      <c r="R103" s="26">
        <f t="shared" si="4"/>
        <v>2755.5338602893794</v>
      </c>
      <c r="S103" s="1">
        <f>$O$11</f>
        <v>132.15073688176165</v>
      </c>
      <c r="T103" s="1">
        <f t="shared" si="5"/>
        <v>108.28557492166956</v>
      </c>
      <c r="U103" s="6">
        <f>R102*$O$8</f>
        <v>23.865161960092074</v>
      </c>
    </row>
    <row r="104" spans="17:21">
      <c r="Q104" s="4">
        <v>98</v>
      </c>
      <c r="R104" s="26">
        <f t="shared" ref="R104:R126" si="6">R103-T104</f>
        <v>2646.3459055766957</v>
      </c>
      <c r="S104" s="1">
        <f>$O$11</f>
        <v>132.15073688176165</v>
      </c>
      <c r="T104" s="1">
        <f t="shared" ref="T104:T126" si="7">S104-U104</f>
        <v>109.18795471268348</v>
      </c>
      <c r="U104" s="6">
        <f>R103*$O$8</f>
        <v>22.96278216907816</v>
      </c>
    </row>
    <row r="105" spans="17:21">
      <c r="Q105" s="4">
        <v>99</v>
      </c>
      <c r="R105" s="26">
        <f t="shared" si="6"/>
        <v>2536.2480512414068</v>
      </c>
      <c r="S105" s="1">
        <f>$O$11</f>
        <v>132.15073688176165</v>
      </c>
      <c r="T105" s="1">
        <f t="shared" si="7"/>
        <v>110.09785433528918</v>
      </c>
      <c r="U105" s="6">
        <f>R104*$O$8</f>
        <v>22.052882546472464</v>
      </c>
    </row>
    <row r="106" spans="17:21">
      <c r="Q106" s="4">
        <v>100</v>
      </c>
      <c r="R106" s="26">
        <f t="shared" si="6"/>
        <v>2425.2327147866567</v>
      </c>
      <c r="S106" s="1">
        <f>$O$11</f>
        <v>132.15073688176165</v>
      </c>
      <c r="T106" s="1">
        <f t="shared" si="7"/>
        <v>111.01533645474993</v>
      </c>
      <c r="U106" s="6">
        <f>R105*$O$8</f>
        <v>21.135400427011724</v>
      </c>
    </row>
    <row r="107" spans="17:21">
      <c r="Q107" s="4">
        <v>101</v>
      </c>
      <c r="R107" s="26">
        <f t="shared" si="6"/>
        <v>2313.2922505281172</v>
      </c>
      <c r="S107" s="1">
        <f>$O$11</f>
        <v>132.15073688176165</v>
      </c>
      <c r="T107" s="1">
        <f t="shared" si="7"/>
        <v>111.94046425853951</v>
      </c>
      <c r="U107" s="6">
        <f>R106*$O$8</f>
        <v>20.210272623222139</v>
      </c>
    </row>
    <row r="108" spans="17:21">
      <c r="Q108" s="4">
        <v>102</v>
      </c>
      <c r="R108" s="26">
        <f t="shared" si="6"/>
        <v>2200.418949067423</v>
      </c>
      <c r="S108" s="1">
        <f>$O$11</f>
        <v>132.15073688176165</v>
      </c>
      <c r="T108" s="1">
        <f t="shared" si="7"/>
        <v>112.87330146069399</v>
      </c>
      <c r="U108" s="6">
        <f>R107*$O$8</f>
        <v>19.277435421067644</v>
      </c>
    </row>
    <row r="109" spans="17:21">
      <c r="Q109" s="4">
        <v>103</v>
      </c>
      <c r="R109" s="26">
        <f t="shared" si="6"/>
        <v>2086.6050367612233</v>
      </c>
      <c r="S109" s="1">
        <f>$O$11</f>
        <v>132.15073688176165</v>
      </c>
      <c r="T109" s="1">
        <f t="shared" si="7"/>
        <v>113.81391230619978</v>
      </c>
      <c r="U109" s="6">
        <f>R108*$O$8</f>
        <v>18.33682457556186</v>
      </c>
    </row>
    <row r="110" spans="17:21">
      <c r="Q110" s="4">
        <v>104</v>
      </c>
      <c r="R110" s="26">
        <f t="shared" si="6"/>
        <v>1971.8426751858053</v>
      </c>
      <c r="S110" s="1">
        <f>$O$11</f>
        <v>132.15073688176165</v>
      </c>
      <c r="T110" s="1">
        <f t="shared" si="7"/>
        <v>114.76236157541811</v>
      </c>
      <c r="U110" s="6">
        <f>R109*$O$8</f>
        <v>17.388375306343526</v>
      </c>
    </row>
    <row r="111" spans="17:21">
      <c r="Q111" s="4">
        <v>105</v>
      </c>
      <c r="R111" s="26">
        <f t="shared" si="6"/>
        <v>1856.1239605972587</v>
      </c>
      <c r="S111" s="1">
        <f>$O$11</f>
        <v>132.15073688176165</v>
      </c>
      <c r="T111" s="1">
        <f t="shared" si="7"/>
        <v>115.7187145885466</v>
      </c>
      <c r="U111" s="6">
        <f>R110*$O$8</f>
        <v>16.432022293215045</v>
      </c>
    </row>
    <row r="112" spans="17:21">
      <c r="Q112" s="4">
        <v>106</v>
      </c>
      <c r="R112" s="26">
        <f t="shared" si="6"/>
        <v>1739.4409233871409</v>
      </c>
      <c r="S112" s="1">
        <f>$O$11</f>
        <v>132.15073688176165</v>
      </c>
      <c r="T112" s="1">
        <f t="shared" si="7"/>
        <v>116.68303721011782</v>
      </c>
      <c r="U112" s="6">
        <f>R111*$O$8</f>
        <v>15.467699671643823</v>
      </c>
    </row>
    <row r="113" spans="17:21">
      <c r="Q113" s="4">
        <v>107</v>
      </c>
      <c r="R113" s="26">
        <f t="shared" si="6"/>
        <v>1621.7855275336053</v>
      </c>
      <c r="S113" s="1">
        <f>$O$11</f>
        <v>132.15073688176165</v>
      </c>
      <c r="T113" s="1">
        <f t="shared" si="7"/>
        <v>117.65539585353547</v>
      </c>
      <c r="U113" s="6">
        <f>R112*$O$8</f>
        <v>14.495341028226173</v>
      </c>
    </row>
    <row r="114" spans="17:21">
      <c r="Q114" s="4">
        <v>108</v>
      </c>
      <c r="R114" s="26">
        <f t="shared" si="6"/>
        <v>1503.149670047957</v>
      </c>
      <c r="S114" s="1">
        <f>$O$11</f>
        <v>132.15073688176165</v>
      </c>
      <c r="T114" s="1">
        <f t="shared" si="7"/>
        <v>118.63585748564827</v>
      </c>
      <c r="U114" s="6">
        <f>R113*$O$8</f>
        <v>13.514879396113377</v>
      </c>
    </row>
    <row r="115" spans="17:21">
      <c r="Q115" s="4">
        <v>109</v>
      </c>
      <c r="R115" s="26">
        <f t="shared" si="6"/>
        <v>1383.525180416595</v>
      </c>
      <c r="S115" s="1">
        <f>$O$11</f>
        <v>132.15073688176165</v>
      </c>
      <c r="T115" s="1">
        <f t="shared" si="7"/>
        <v>119.624489631362</v>
      </c>
      <c r="U115" s="6">
        <f>R114*$O$8</f>
        <v>12.526247250399642</v>
      </c>
    </row>
    <row r="116" spans="17:21">
      <c r="Q116" s="4">
        <v>110</v>
      </c>
      <c r="R116" s="26">
        <f t="shared" si="6"/>
        <v>1262.903820038305</v>
      </c>
      <c r="S116" s="1">
        <f>$O$11</f>
        <v>132.15073688176165</v>
      </c>
      <c r="T116" s="1">
        <f t="shared" si="7"/>
        <v>120.62136037829002</v>
      </c>
      <c r="U116" s="6">
        <f>R115*$O$8</f>
        <v>11.529376503471624</v>
      </c>
    </row>
    <row r="117" spans="17:21">
      <c r="Q117" s="4">
        <v>111</v>
      </c>
      <c r="R117" s="26">
        <f t="shared" si="6"/>
        <v>1141.2772816568624</v>
      </c>
      <c r="S117" s="1">
        <f>$O$11</f>
        <v>132.15073688176165</v>
      </c>
      <c r="T117" s="1">
        <f t="shared" si="7"/>
        <v>121.62653838144243</v>
      </c>
      <c r="U117" s="6">
        <f>R116*$O$8</f>
        <v>10.524198500319208</v>
      </c>
    </row>
    <row r="118" spans="17:21">
      <c r="Q118" s="4">
        <v>112</v>
      </c>
      <c r="R118" s="26">
        <f t="shared" si="6"/>
        <v>1018.637188788908</v>
      </c>
      <c r="S118" s="1">
        <f>$O$11</f>
        <v>132.15073688176165</v>
      </c>
      <c r="T118" s="1">
        <f t="shared" si="7"/>
        <v>122.64009286795445</v>
      </c>
      <c r="U118" s="6">
        <f>R117*$O$8</f>
        <v>9.5106440138071875</v>
      </c>
    </row>
    <row r="119" spans="17:21">
      <c r="Q119" s="4">
        <v>113</v>
      </c>
      <c r="R119" s="26">
        <f t="shared" si="6"/>
        <v>894.97509514705393</v>
      </c>
      <c r="S119" s="1">
        <f>$O$11</f>
        <v>132.15073688176165</v>
      </c>
      <c r="T119" s="1">
        <f t="shared" si="7"/>
        <v>123.66209364185409</v>
      </c>
      <c r="U119" s="6">
        <f>R118*$O$8</f>
        <v>8.4886432399075673</v>
      </c>
    </row>
    <row r="120" spans="17:21">
      <c r="Q120" s="4">
        <v>114</v>
      </c>
      <c r="R120" s="26">
        <f t="shared" si="6"/>
        <v>770.28248405818442</v>
      </c>
      <c r="S120" s="1">
        <f>$O$11</f>
        <v>132.15073688176165</v>
      </c>
      <c r="T120" s="1">
        <f t="shared" si="7"/>
        <v>124.69261108886953</v>
      </c>
      <c r="U120" s="6">
        <f>R119*$O$8</f>
        <v>7.4581257928921163</v>
      </c>
    </row>
    <row r="121" spans="17:21">
      <c r="Q121" s="4">
        <v>115</v>
      </c>
      <c r="R121" s="26">
        <f t="shared" si="6"/>
        <v>644.55076787690768</v>
      </c>
      <c r="S121" s="1">
        <f>$O$11</f>
        <v>132.15073688176165</v>
      </c>
      <c r="T121" s="1">
        <f t="shared" si="7"/>
        <v>125.73171618127678</v>
      </c>
      <c r="U121" s="6">
        <f>R120*$O$8</f>
        <v>6.4190207004848698</v>
      </c>
    </row>
    <row r="122" spans="17:21">
      <c r="Q122" s="4">
        <v>116</v>
      </c>
      <c r="R122" s="26">
        <f t="shared" si="6"/>
        <v>517.77128739412024</v>
      </c>
      <c r="S122" s="1">
        <f>$O$11</f>
        <v>132.15073688176165</v>
      </c>
      <c r="T122" s="1">
        <f t="shared" si="7"/>
        <v>126.77948048278742</v>
      </c>
      <c r="U122" s="6">
        <f>R121*$O$8</f>
        <v>5.3712563989742304</v>
      </c>
    </row>
    <row r="123" spans="17:21">
      <c r="Q123" s="4">
        <v>117</v>
      </c>
      <c r="R123" s="26">
        <f t="shared" si="6"/>
        <v>389.93531124064293</v>
      </c>
      <c r="S123" s="1">
        <f>$O$11</f>
        <v>132.15073688176165</v>
      </c>
      <c r="T123" s="1">
        <f t="shared" si="7"/>
        <v>127.8359761534773</v>
      </c>
      <c r="U123" s="6">
        <f>R122*$O$8</f>
        <v>4.3147607282843357</v>
      </c>
    </row>
    <row r="124" spans="17:21">
      <c r="Q124" s="4">
        <v>118</v>
      </c>
      <c r="R124" s="26">
        <f t="shared" si="6"/>
        <v>261.0340352858866</v>
      </c>
      <c r="S124" s="1">
        <f>$O$11</f>
        <v>132.15073688176165</v>
      </c>
      <c r="T124" s="1">
        <f t="shared" si="7"/>
        <v>128.9012759547563</v>
      </c>
      <c r="U124" s="6">
        <f>R123*$O$8</f>
        <v>3.2494609270053578</v>
      </c>
    </row>
    <row r="125" spans="17:21">
      <c r="Q125" s="4">
        <v>119</v>
      </c>
      <c r="R125" s="26">
        <f t="shared" si="6"/>
        <v>131.05858203150734</v>
      </c>
      <c r="S125" s="1">
        <f>$O$11</f>
        <v>132.15073688176165</v>
      </c>
      <c r="T125" s="1">
        <f t="shared" si="7"/>
        <v>129.97545325437926</v>
      </c>
      <c r="U125" s="6">
        <f>R124*$O$8</f>
        <v>2.1752836273823881</v>
      </c>
    </row>
    <row r="126" spans="17:21" ht="15" thickBot="1">
      <c r="Q126" s="7">
        <v>120</v>
      </c>
      <c r="R126" s="27">
        <f t="shared" si="6"/>
        <v>8.2707174442475662E-12</v>
      </c>
      <c r="S126" s="8">
        <f>$O$11</f>
        <v>132.15073688176165</v>
      </c>
      <c r="T126" s="8">
        <f t="shared" si="7"/>
        <v>131.05858203149907</v>
      </c>
      <c r="U126" s="9">
        <f>R125*$O$8</f>
        <v>1.0921548502625611</v>
      </c>
    </row>
  </sheetData>
  <mergeCells count="4">
    <mergeCell ref="D5:E5"/>
    <mergeCell ref="D16:E16"/>
    <mergeCell ref="N5:O5"/>
    <mergeCell ref="D2:U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Llamas Nuñez</dc:creator>
  <cp:keywords/>
  <dc:description/>
  <cp:lastModifiedBy>Lucia Bravo Dalmau</cp:lastModifiedBy>
  <cp:revision/>
  <dcterms:created xsi:type="dcterms:W3CDTF">2015-06-05T18:17:20Z</dcterms:created>
  <dcterms:modified xsi:type="dcterms:W3CDTF">2025-05-08T16:15:38Z</dcterms:modified>
  <cp:category/>
  <cp:contentStatus/>
</cp:coreProperties>
</file>